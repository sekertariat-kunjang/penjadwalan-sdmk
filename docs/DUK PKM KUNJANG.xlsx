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penjadwalan" sheetId="2" r:id="rId6"/>
    <sheet state="visible" name="DUK 2022" sheetId="3" r:id="rId7"/>
    <sheet state="visible" name="Pangkat" sheetId="4" r:id="rId8"/>
    <sheet state="visible" name="KGB" sheetId="5" r:id="rId9"/>
    <sheet state="visible" name="Deal" sheetId="6" r:id="rId10"/>
    <sheet state="visible" name="Sheet1" sheetId="7" r:id="rId11"/>
    <sheet state="visible" name="Sheet2" sheetId="8" r:id="rId12"/>
    <sheet state="visible" name="Sheet3" sheetId="9" r:id="rId13"/>
    <sheet state="visible" name="Sheet4" sheetId="10" r:id="rId14"/>
    <sheet state="visible" name="Sheet5" sheetId="11" r:id="rId15"/>
    <sheet state="visible" name="Sheet6" sheetId="12" r:id="rId16"/>
    <sheet state="visible" name="absen siang" sheetId="13" r:id="rId17"/>
    <sheet state="visible" name="Sheet8" sheetId="14" r:id="rId18"/>
    <sheet state="visible" name="Sheet7" sheetId="15" r:id="rId19"/>
    <sheet state="visible" name="Sheet9" sheetId="16" r:id="rId20"/>
    <sheet state="visible" name="absen siang (2)" sheetId="17" r:id="rId21"/>
    <sheet state="visible" name="alasan" sheetId="18" r:id="rId22"/>
    <sheet state="visible" name="sipres" sheetId="19" r:id="rId23"/>
  </sheets>
  <definedNames/>
  <calcPr/>
</workbook>
</file>

<file path=xl/sharedStrings.xml><?xml version="1.0" encoding="utf-8"?>
<sst xmlns="http://schemas.openxmlformats.org/spreadsheetml/2006/main" count="3449" uniqueCount="1067">
  <si>
    <t xml:space="preserve">DAFTAR URUT KEPEGAWAIAN </t>
  </si>
  <si>
    <t>NO</t>
  </si>
  <si>
    <t>DAFTAR KENAIKAN PANGKAT PEGAWAI</t>
  </si>
  <si>
    <t>NAMA</t>
  </si>
  <si>
    <t>NIP / NIK</t>
  </si>
  <si>
    <t>GOL</t>
  </si>
  <si>
    <t>JENIS ASN</t>
  </si>
  <si>
    <t>UPTD PUSKESMAS KUNJANG</t>
  </si>
  <si>
    <t>NAMA JABATAN</t>
  </si>
  <si>
    <t>PER 28 Februari 2023</t>
  </si>
  <si>
    <t>dr.Durotun Nafisa</t>
  </si>
  <si>
    <t>19750423 200212 2 005</t>
  </si>
  <si>
    <t>Ivc</t>
  </si>
  <si>
    <t>PNS</t>
  </si>
  <si>
    <t>Dokter Ahli Madya</t>
  </si>
  <si>
    <t>No</t>
  </si>
  <si>
    <t>drg. Putri Emyta Sari</t>
  </si>
  <si>
    <t>19810604 200902 2 004</t>
  </si>
  <si>
    <t>Ivb</t>
  </si>
  <si>
    <t>Nama</t>
  </si>
  <si>
    <t>Dokter Gigi Ahli Madya</t>
  </si>
  <si>
    <t>Gol</t>
  </si>
  <si>
    <t>Setya Budi, Amd., Kep</t>
  </si>
  <si>
    <t>TMT</t>
  </si>
  <si>
    <t>19700508 199203 1 003</t>
  </si>
  <si>
    <t xml:space="preserve">TMT </t>
  </si>
  <si>
    <t>IIId</t>
  </si>
  <si>
    <t>Masa Kerja</t>
  </si>
  <si>
    <t xml:space="preserve">NAMA </t>
  </si>
  <si>
    <t>Perawat Ahli pertama</t>
  </si>
  <si>
    <t>ESE</t>
  </si>
  <si>
    <t>MASA KERJA</t>
  </si>
  <si>
    <t>Luluk Listyaningsih,AMG</t>
  </si>
  <si>
    <t>19691030 199203 2 008</t>
  </si>
  <si>
    <t>Nutrisionis Penyelia</t>
  </si>
  <si>
    <t>Yuanendah, SST.</t>
  </si>
  <si>
    <t>19710125 199203 2 010</t>
  </si>
  <si>
    <t>Bidan Ahli Muda</t>
  </si>
  <si>
    <t>DIKLAT</t>
  </si>
  <si>
    <t>Daril Rahmatullah, S. Farm.</t>
  </si>
  <si>
    <t>19810704 200901 1 004</t>
  </si>
  <si>
    <t>PEN</t>
  </si>
  <si>
    <t>Iva</t>
  </si>
  <si>
    <t>KETERANGAN</t>
  </si>
  <si>
    <t>Waktu Pengusulan Kenaikan Pangkat</t>
  </si>
  <si>
    <t>TEMPAT</t>
  </si>
  <si>
    <t>Apoteker Ahli Madya</t>
  </si>
  <si>
    <t>AGAMA</t>
  </si>
  <si>
    <t>KET</t>
  </si>
  <si>
    <t>Fitri Ariani Isnaningtyas, Amd.AK</t>
  </si>
  <si>
    <t>19780908 199903 2 001</t>
  </si>
  <si>
    <t>GLNGAN</t>
  </si>
  <si>
    <t>JABATAN</t>
  </si>
  <si>
    <t>LON</t>
  </si>
  <si>
    <t>Pranata Labkes Pelaksana Penyelia</t>
  </si>
  <si>
    <t>THN</t>
  </si>
  <si>
    <t>BLN</t>
  </si>
  <si>
    <t>Tahun</t>
  </si>
  <si>
    <t>DDK</t>
  </si>
  <si>
    <t>PENDIDIKAN</t>
  </si>
  <si>
    <t>TANGGAL LAHIR</t>
  </si>
  <si>
    <t>Rinda Ari Puspita, Amd. KG</t>
  </si>
  <si>
    <t>19871127 201001 2 008</t>
  </si>
  <si>
    <t>IIIb</t>
  </si>
  <si>
    <t>Bulan</t>
  </si>
  <si>
    <t>Terapis Gigi dan Mulut Mahir</t>
  </si>
  <si>
    <t>dr. Rizky Rachmat Kurniawan</t>
  </si>
  <si>
    <t>19960310 202203 1 005</t>
  </si>
  <si>
    <t>Dokter Pertama</t>
  </si>
  <si>
    <t>Supatemi, Amd.Keb</t>
  </si>
  <si>
    <t>19720306 200604 2 014</t>
  </si>
  <si>
    <t>Bidan Mahir</t>
  </si>
  <si>
    <t>Anik Sri Purwati, Amd. Keb.</t>
  </si>
  <si>
    <t>19740806 200604 2 022</t>
  </si>
  <si>
    <t>IVc</t>
  </si>
  <si>
    <t>Enny Nurhayati, Amd.. Keb.</t>
  </si>
  <si>
    <t>19741101 200604 2 014</t>
  </si>
  <si>
    <t>Sulisni, Amd. Keb.</t>
  </si>
  <si>
    <t>19750315 200604 2 031</t>
  </si>
  <si>
    <t>IV/c</t>
  </si>
  <si>
    <t>Estu Rahayuningsih, Amd. Keb.</t>
  </si>
  <si>
    <t>19751117 200701 2 010</t>
  </si>
  <si>
    <t>-</t>
  </si>
  <si>
    <t>S1</t>
  </si>
  <si>
    <t>Dokter Umum Th 1999</t>
  </si>
  <si>
    <t>Kediri, 23-04-1975</t>
  </si>
  <si>
    <t>Islam</t>
  </si>
  <si>
    <t>Fungsional Tertentu</t>
  </si>
  <si>
    <t>Jema’I, Amd.. Keb.</t>
  </si>
  <si>
    <t>Prihatiningtyas, Amd. Keb.</t>
  </si>
  <si>
    <t>19760521 200701 2 012</t>
  </si>
  <si>
    <t>Mey Idayati, Amd.Kep</t>
  </si>
  <si>
    <t>19870507 201402 2 001</t>
  </si>
  <si>
    <t>Perawat Mahir</t>
  </si>
  <si>
    <t>IVa</t>
  </si>
  <si>
    <t>Sito Luncono Setio Utomo</t>
  </si>
  <si>
    <t>19790506 201001 1 027</t>
  </si>
  <si>
    <t>FKG Th. 2006</t>
  </si>
  <si>
    <t>lld</t>
  </si>
  <si>
    <t>Kediri, 04-06-1981</t>
  </si>
  <si>
    <t>Pengadministrasi Kepegawaian</t>
  </si>
  <si>
    <t>Siti Aminah, Amd Kep.</t>
  </si>
  <si>
    <t>19870803 201903 2 005</t>
  </si>
  <si>
    <t>19671215 198811 2 002</t>
  </si>
  <si>
    <t>IId</t>
  </si>
  <si>
    <t>Perawat Terampil</t>
  </si>
  <si>
    <t>Administrasi Umum</t>
  </si>
  <si>
    <t>Nuryana Vidya C, Amd.Kep</t>
  </si>
  <si>
    <t>19970326 202012 2 013</t>
  </si>
  <si>
    <t>D III</t>
  </si>
  <si>
    <t>Novia Anjarwati, Amd. Kes</t>
  </si>
  <si>
    <t>AKBID Thn 2007</t>
  </si>
  <si>
    <t>19951125 202012 2 013</t>
  </si>
  <si>
    <t>Kediri, 15-12-1967</t>
  </si>
  <si>
    <t>Sanitarian Pelaksana</t>
  </si>
  <si>
    <t>Dinung Wahyu Purwanti</t>
  </si>
  <si>
    <t>IIIc</t>
  </si>
  <si>
    <t>19930105 202221 2 001</t>
  </si>
  <si>
    <t>PPPK-VII</t>
  </si>
  <si>
    <t>PPPK</t>
  </si>
  <si>
    <t>Bidan Terampil</t>
  </si>
  <si>
    <t>Susi Winda Wandari, Amd Keb</t>
  </si>
  <si>
    <t>19940405 202321 2 005</t>
  </si>
  <si>
    <t>Perawat Penyelia</t>
  </si>
  <si>
    <t>PER 14 Januari 2026</t>
  </si>
  <si>
    <t>AKPER Thn 2004</t>
  </si>
  <si>
    <t>Kediri, 08-05-1970</t>
  </si>
  <si>
    <t>Desi Natalia, SST</t>
  </si>
  <si>
    <t>3506216412890001</t>
  </si>
  <si>
    <t>PPPK-PW</t>
  </si>
  <si>
    <t>AKZI Thn 2003</t>
  </si>
  <si>
    <t>Kediri, 30-10-1969</t>
  </si>
  <si>
    <t>Devi Ardianti, SE</t>
  </si>
  <si>
    <t>3506164503950002</t>
  </si>
  <si>
    <t>D IV</t>
  </si>
  <si>
    <t>Bidan Pendidik Thn 2013</t>
  </si>
  <si>
    <t>Kediri, 25-01-1971</t>
  </si>
  <si>
    <t>Penata Layanan Operasional</t>
  </si>
  <si>
    <t>Vivi Juni Mega A, S.Tr.Keb</t>
  </si>
  <si>
    <t>3506214506950001</t>
  </si>
  <si>
    <t>IIIa</t>
  </si>
  <si>
    <t>Apoteker Thn 2005</t>
  </si>
  <si>
    <t>Nganjuk, 04-07-1981</t>
  </si>
  <si>
    <t>Anieta Yuni Purnawati, Amd.Keb</t>
  </si>
  <si>
    <t>3506215706900001</t>
  </si>
  <si>
    <t>Anls Kesh Thn 2009</t>
  </si>
  <si>
    <t>Slamet Riadi</t>
  </si>
  <si>
    <t>Kediri, 08-09-1978</t>
  </si>
  <si>
    <t>3506212005790003</t>
  </si>
  <si>
    <t>PPPK-V</t>
  </si>
  <si>
    <t>Operator Layanan Operasional</t>
  </si>
  <si>
    <t>Anita Sumariati</t>
  </si>
  <si>
    <t>3506214101850002</t>
  </si>
  <si>
    <t>KONTRAK</t>
  </si>
  <si>
    <t>KEBERSIHAN</t>
  </si>
  <si>
    <t>Kesh.Gigi Thn 2009</t>
  </si>
  <si>
    <t>Jombang, 27-11-1987</t>
  </si>
  <si>
    <t xml:space="preserve"> IIIa</t>
  </si>
  <si>
    <t>Mimin Asmawati</t>
  </si>
  <si>
    <t>3506215707790002</t>
  </si>
  <si>
    <t>III/b</t>
  </si>
  <si>
    <t xml:space="preserve"> -</t>
  </si>
  <si>
    <t>Fitria Indriyani</t>
  </si>
  <si>
    <t>3506215502970001</t>
  </si>
  <si>
    <t>Dokter Umum Th 2019</t>
  </si>
  <si>
    <t>Samarinda,10-03-1996</t>
  </si>
  <si>
    <t>Cendy Santia KS, Amd AK</t>
  </si>
  <si>
    <t>3506154409920001</t>
  </si>
  <si>
    <t>Pranata Labkes Terampil</t>
  </si>
  <si>
    <t>Mistiani Saputri, Amd Kom</t>
  </si>
  <si>
    <t>3506266204980003</t>
  </si>
  <si>
    <t>Pengelola Layanan Operasional</t>
  </si>
  <si>
    <t>Rani Rosita , Amd Keb</t>
  </si>
  <si>
    <t>3506265409920003</t>
  </si>
  <si>
    <t>AKBID Thn 2005</t>
  </si>
  <si>
    <t>Kediri, 06-03-1972</t>
  </si>
  <si>
    <r>
      <rPr>
        <rFont val="Arial"/>
        <color theme="1"/>
        <sz val="8.0"/>
      </rPr>
      <t>Rise Nisa</t>
    </r>
    <r>
      <rPr>
        <rFont val="Calibri"/>
        <color theme="1"/>
        <sz val="8.0"/>
      </rPr>
      <t>'</t>
    </r>
    <r>
      <rPr>
        <rFont val="Arial"/>
        <color theme="1"/>
        <sz val="7.0"/>
      </rPr>
      <t xml:space="preserve"> Meiula Naaifah</t>
    </r>
  </si>
  <si>
    <t>AKBID Thn 2009</t>
  </si>
  <si>
    <t>3506164105000001</t>
  </si>
  <si>
    <t>Kediri, 06-08-1974</t>
  </si>
  <si>
    <t>Perekam Medis Terampil</t>
  </si>
  <si>
    <t>Shalikul Hadi, SKM</t>
  </si>
  <si>
    <t>3506161109000001</t>
  </si>
  <si>
    <t>PROMKES</t>
  </si>
  <si>
    <t>MUSTAINUL HABIBI</t>
  </si>
  <si>
    <t>Jombang, 01-11-1974</t>
  </si>
  <si>
    <t>19871201 202421 1 018</t>
  </si>
  <si>
    <t>Iid</t>
  </si>
  <si>
    <t>GALIH CATUR AJI SETIAWAN</t>
  </si>
  <si>
    <t>19930220 202421 1 005</t>
  </si>
  <si>
    <t>PPPK-X</t>
  </si>
  <si>
    <t>TMT GOL</t>
  </si>
  <si>
    <t>AKBID Thn 2012</t>
  </si>
  <si>
    <t>Dokter Ahli Pertama</t>
  </si>
  <si>
    <t>Jombang, 15-03-1975</t>
  </si>
  <si>
    <t>BINTI KHOTIMATUL MUNAWAROH</t>
  </si>
  <si>
    <t>TMT JABATAN</t>
  </si>
  <si>
    <t>19970129 202421 2 022</t>
  </si>
  <si>
    <t>E</t>
  </si>
  <si>
    <t>VIRDA NILAYANTI</t>
  </si>
  <si>
    <t>199906292024212023</t>
  </si>
  <si>
    <t>DELLA ANANDANI HAREFA</t>
  </si>
  <si>
    <t>19950224 202421 2 013</t>
  </si>
  <si>
    <t>FENIA ELDIANA</t>
  </si>
  <si>
    <t>19970225 202521 2 007</t>
  </si>
  <si>
    <t>Bidan Pelaksana Lanutan</t>
  </si>
  <si>
    <t xml:space="preserve"> Aide Bagus Lutfi Zakaria,A.Md.Kep</t>
  </si>
  <si>
    <t>MK JABATAN</t>
  </si>
  <si>
    <t>'3518071503890005</t>
  </si>
  <si>
    <t>Wenly Novi Newanda,A.Md.Keb</t>
  </si>
  <si>
    <t>'3506114111970003</t>
  </si>
  <si>
    <t>Dwi Lestari,A.Md.Keb</t>
  </si>
  <si>
    <t>'3506216909940001</t>
  </si>
  <si>
    <t>Pati, 17-11-1975</t>
  </si>
  <si>
    <t>Kristen</t>
  </si>
  <si>
    <t>TEMPAT TANGGAL LAHIR</t>
  </si>
  <si>
    <r>
      <rPr>
        <rFont val="Arial"/>
        <color theme="1"/>
        <sz val="8.0"/>
      </rPr>
      <t xml:space="preserve">ika Bintari, </t>
    </r>
    <r>
      <rPr>
        <rFont val="Arial"/>
        <color rgb="FF1155CC"/>
        <sz val="8.0"/>
      </rPr>
      <t xml:space="preserve"> </t>
    </r>
    <r>
      <rPr>
        <rFont val="Arial"/>
        <color rgb="FF1155CC"/>
        <sz val="8.0"/>
        <u/>
      </rPr>
      <t>A.Md</t>
    </r>
    <r>
      <rPr>
        <rFont val="Arial"/>
        <color rgb="FF1155CC"/>
        <sz val="8.0"/>
      </rPr>
      <t>.</t>
    </r>
    <r>
      <rPr>
        <rFont val="Arial"/>
        <color theme="1"/>
        <sz val="8.0"/>
      </rPr>
      <t>Keb</t>
    </r>
  </si>
  <si>
    <t>Bidan Pelaksana Lanjutan</t>
  </si>
  <si>
    <t>Kediri, 21-05-1976</t>
  </si>
  <si>
    <t>Keperawatan, 2010</t>
  </si>
  <si>
    <t>Kediri, 07-05-1987</t>
  </si>
  <si>
    <t>Staf</t>
  </si>
  <si>
    <t>SLTA</t>
  </si>
  <si>
    <t>SMA Thn.</t>
  </si>
  <si>
    <t>Surabaya, 06-05-1979</t>
  </si>
  <si>
    <t>DIII</t>
  </si>
  <si>
    <t>AKPER Thn 2009</t>
  </si>
  <si>
    <t>Kediri,03-08-1987</t>
  </si>
  <si>
    <t>llc</t>
  </si>
  <si>
    <t>AKPER Thn.2018</t>
  </si>
  <si>
    <t>Kediri, 26-03-1997</t>
  </si>
  <si>
    <t>19910519 202521 2 033</t>
  </si>
  <si>
    <t>Ronal Ardianto</t>
  </si>
  <si>
    <t>Kesling Thn. 2018</t>
  </si>
  <si>
    <t>Nganjuk, 25-11-1995</t>
  </si>
  <si>
    <t>3506210301020001</t>
  </si>
  <si>
    <t>VII</t>
  </si>
  <si>
    <t>cs</t>
  </si>
  <si>
    <t>24/8/2016</t>
  </si>
  <si>
    <t>Kediri, 05- 01-1993</t>
  </si>
  <si>
    <t>Rinda Agustina,Amd.Gizi</t>
  </si>
  <si>
    <t>3506216208960001</t>
  </si>
  <si>
    <t>Nutrisionis Terampil</t>
  </si>
  <si>
    <t>Yogi Satrio Lelono</t>
  </si>
  <si>
    <t>3506210306030002</t>
  </si>
  <si>
    <t>9 Thn 5 Bln</t>
  </si>
  <si>
    <t>D-III</t>
  </si>
  <si>
    <t>AKBID Thn 2015</t>
  </si>
  <si>
    <t>Kediri, 05-04-1994</t>
  </si>
  <si>
    <t>BIDAN DESA</t>
  </si>
  <si>
    <t>D-IV</t>
  </si>
  <si>
    <t>Kebidanan Thn. 2011</t>
  </si>
  <si>
    <t>Kediri, 24-12-1989</t>
  </si>
  <si>
    <t>Dr.durotun Nafisa</t>
  </si>
  <si>
    <t>AKUNTANSI BOK</t>
  </si>
  <si>
    <t>S-1</t>
  </si>
  <si>
    <t>Akuntansi Thn 2016</t>
  </si>
  <si>
    <t>Kediri, 05-03-1995</t>
  </si>
  <si>
    <t xml:space="preserve">AKBID Thn.2013 </t>
  </si>
  <si>
    <t>Kediri, 05-06-1995</t>
  </si>
  <si>
    <t>AKBID Thn 2017</t>
  </si>
  <si>
    <t>Kediri, 17-06-1990</t>
  </si>
  <si>
    <t>Della Karisma Lutfiana, Amd. Gz</t>
  </si>
  <si>
    <t>3506144604970001</t>
  </si>
  <si>
    <t>NUTRISIONIS</t>
  </si>
  <si>
    <t>AKZI Thn 2018</t>
  </si>
  <si>
    <t>Kediri, 06-04-1997</t>
  </si>
  <si>
    <t>KEBERSIHAN/ SOPIR</t>
  </si>
  <si>
    <t>SMA</t>
  </si>
  <si>
    <t>Thn 2008</t>
  </si>
  <si>
    <t>Kediri, 20-05-1979</t>
  </si>
  <si>
    <t>SMP</t>
  </si>
  <si>
    <t>Thn 2000</t>
  </si>
  <si>
    <t>Madiun, 02-01-1985</t>
  </si>
  <si>
    <t>01/01/2020</t>
  </si>
  <si>
    <t>SMK</t>
  </si>
  <si>
    <t>Thn 1999</t>
  </si>
  <si>
    <t>Kediri, 17-07-1979</t>
  </si>
  <si>
    <t>Shindy Erlina Putri Pramujib</t>
  </si>
  <si>
    <t>3506166906960001</t>
  </si>
  <si>
    <t>LOKET/ADMINISTRASI UMUM</t>
  </si>
  <si>
    <t>Akuntasi Thn 2021</t>
  </si>
  <si>
    <t>Kediri, 29-06-1996</t>
  </si>
  <si>
    <t>ASISTEN APOTEKER</t>
  </si>
  <si>
    <t>D-1</t>
  </si>
  <si>
    <t>Manajemen Farmasi Thn 2017</t>
  </si>
  <si>
    <t>Kediri, 15-02-1997</t>
  </si>
  <si>
    <t>ANALIS KESEHATAN</t>
  </si>
  <si>
    <t xml:space="preserve">Analis Kesh Thn 2016 </t>
  </si>
  <si>
    <t>ADMINISTRASI UMUM</t>
  </si>
  <si>
    <t>Manajemen Informatika Thn. 2019</t>
  </si>
  <si>
    <t>Kediri, 22-04-1998</t>
  </si>
  <si>
    <t>31/04/2020</t>
  </si>
  <si>
    <t>AKBID Thn 2013</t>
  </si>
  <si>
    <t>Kediri, 14-09-1992</t>
  </si>
  <si>
    <r>
      <rPr>
        <rFont val="Arial"/>
        <color theme="1"/>
        <sz val="8.0"/>
      </rPr>
      <t>Rise Nisa</t>
    </r>
    <r>
      <rPr>
        <rFont val="Calibri"/>
        <color theme="1"/>
        <sz val="8.0"/>
      </rPr>
      <t>'</t>
    </r>
    <r>
      <rPr>
        <rFont val="Arial"/>
        <color theme="1"/>
        <sz val="7.0"/>
      </rPr>
      <t xml:space="preserve"> Meiula Naaifah</t>
    </r>
  </si>
  <si>
    <t>REKAM MEDIK</t>
  </si>
  <si>
    <t>Rekam Medik Thn 2021</t>
  </si>
  <si>
    <t>Kediri, 01-05-2000</t>
  </si>
  <si>
    <t>SKM th. 22</t>
  </si>
  <si>
    <t>Kediri, 07-09-2000</t>
  </si>
  <si>
    <t>2 Thn 9 Bln</t>
  </si>
  <si>
    <t>MENGETAHUI</t>
  </si>
  <si>
    <t>KUNJANG, 1 Desember 2022</t>
  </si>
  <si>
    <t>KEPALA UPTD PUSKESMAS KUNJANG</t>
  </si>
  <si>
    <t>PENGELOLA</t>
  </si>
  <si>
    <t>Drg. Putri Emyta Sari</t>
  </si>
  <si>
    <t>dr. Durotun Nafisa</t>
  </si>
  <si>
    <t>NIP. 19750423 200212 2 005</t>
  </si>
  <si>
    <t>NIP.19810704 200901 1 004</t>
  </si>
  <si>
    <t>10 Thn 3 Bln</t>
  </si>
  <si>
    <t>9 Thn 3 Bln</t>
  </si>
  <si>
    <t>Luluk Listyaningsih,amg</t>
  </si>
  <si>
    <t>9 Thn 1 Bln</t>
  </si>
  <si>
    <t>Yuanendah, Sst.</t>
  </si>
  <si>
    <t>1 Thn 4 Bln</t>
  </si>
  <si>
    <t>Fitri Ariani Isnaningtyas, Amd.ak</t>
  </si>
  <si>
    <t>1/42022</t>
  </si>
  <si>
    <t>3 Thn 9 Bln</t>
  </si>
  <si>
    <t>Rinda Ari Puspita, Amd. Kg</t>
  </si>
  <si>
    <t>Dr. Rizky Rachmat Kurniawan</t>
  </si>
  <si>
    <t>4 Thn 10 Bln</t>
  </si>
  <si>
    <t>Supatemi, Amd.keb</t>
  </si>
  <si>
    <t>REGISTER PENJAGAAN KENAIKNAN GAJI BERKALA</t>
  </si>
  <si>
    <t>NIP</t>
  </si>
  <si>
    <t>KGB Terakhir</t>
  </si>
  <si>
    <t>Pengusulan KGB</t>
  </si>
  <si>
    <t>Thn</t>
  </si>
  <si>
    <t>Bln</t>
  </si>
  <si>
    <t>198107042009011004</t>
  </si>
  <si>
    <t>Dinung Wahyu Purwanti, A.Md</t>
  </si>
  <si>
    <t>dr, Galih Catur Aji Setiawan</t>
  </si>
  <si>
    <t>X</t>
  </si>
  <si>
    <t>Musta'inul Habibi</t>
  </si>
  <si>
    <t>Binti Khotimatul Munawaroh, A.Md.Keb</t>
  </si>
  <si>
    <t>Della Anandani Harefa, Amd.Kep</t>
  </si>
  <si>
    <t>Virda Nilayanti</t>
  </si>
  <si>
    <t>19990629 202421 2 023</t>
  </si>
  <si>
    <t>19900617 202421 2 004</t>
  </si>
  <si>
    <t>5 Thn 9 Bln</t>
  </si>
  <si>
    <t>Mey Idayati, Amd.kep</t>
  </si>
  <si>
    <t>4 Thn 1 Bln</t>
  </si>
  <si>
    <t>Tempat Lahir</t>
  </si>
  <si>
    <t>Tgl Lahir</t>
  </si>
  <si>
    <t>Nuryana Vidya C, Amd.kep</t>
  </si>
  <si>
    <t>Pendidikan</t>
  </si>
  <si>
    <t>Jabatan</t>
  </si>
  <si>
    <t>Nip / Nik</t>
  </si>
  <si>
    <t>TMT CPNS</t>
  </si>
  <si>
    <t>TMT PNS</t>
  </si>
  <si>
    <t>STR</t>
  </si>
  <si>
    <t>SIP</t>
  </si>
  <si>
    <t>Ket</t>
  </si>
  <si>
    <t>Gol Terakhir</t>
  </si>
  <si>
    <t>Nomer</t>
  </si>
  <si>
    <t>Berlaku</t>
  </si>
  <si>
    <t>Kediri</t>
  </si>
  <si>
    <t xml:space="preserve"> 23-04-1975</t>
  </si>
  <si>
    <t>35 2 1 100 4 22 012392</t>
  </si>
  <si>
    <t>446/3247/418.25/2022</t>
  </si>
  <si>
    <t>Berkas STR belum ada</t>
  </si>
  <si>
    <t xml:space="preserve"> 04-06-1981</t>
  </si>
  <si>
    <t>446/5418/418.25/2022</t>
  </si>
  <si>
    <t xml:space="preserve"> 15-12-1967</t>
  </si>
  <si>
    <t>16 02 5 2 2 22-4473580</t>
  </si>
  <si>
    <t>446/17418/418.25/2022</t>
  </si>
  <si>
    <t xml:space="preserve"> 08-05-1970</t>
  </si>
  <si>
    <t>16 01 7 2 2 22-4376440</t>
  </si>
  <si>
    <t>446/13309/418.25/2022</t>
  </si>
  <si>
    <t xml:space="preserve"> 30-10-1969</t>
  </si>
  <si>
    <t>P2T/63/03/.10/02/11/2018</t>
  </si>
  <si>
    <t>446/16.410/418.25/2018</t>
  </si>
  <si>
    <t>16 02 6 2 2 22-4545675</t>
  </si>
  <si>
    <t>SIP belum ada</t>
  </si>
  <si>
    <t>Nganjuk</t>
  </si>
  <si>
    <t>Apoteker Ahli Muda</t>
  </si>
  <si>
    <t>19810704/STRA-UGM/2005/12051</t>
  </si>
  <si>
    <t>19810704/SIPA-35.06/2021/1162</t>
  </si>
  <si>
    <t xml:space="preserve"> 08-09-1978</t>
  </si>
  <si>
    <t>16 14 5 2 2 17-2135509</t>
  </si>
  <si>
    <t>446/19671/418.25/2020</t>
  </si>
  <si>
    <t>STR dan SIP Mati</t>
  </si>
  <si>
    <t>Umi Kulsum</t>
  </si>
  <si>
    <t>Sidoarjo</t>
  </si>
  <si>
    <t xml:space="preserve"> 09-09-1966</t>
  </si>
  <si>
    <t>Pengadministrasi Umum</t>
  </si>
  <si>
    <t>19660909 198801 2 002</t>
  </si>
  <si>
    <t>4 Thn 0 Bln</t>
  </si>
  <si>
    <t>Jombang</t>
  </si>
  <si>
    <t xml:space="preserve"> 27-11-1987</t>
  </si>
  <si>
    <t>Terapis Gigi dan Mulut</t>
  </si>
  <si>
    <t xml:space="preserve"> </t>
  </si>
  <si>
    <t>16 04 5 2 2 22-4497124</t>
  </si>
  <si>
    <t>446/9618/418.25/2019</t>
  </si>
  <si>
    <t>SIP Mati</t>
  </si>
  <si>
    <t>Samarinda</t>
  </si>
  <si>
    <t>446/4821/418.25/2022</t>
  </si>
  <si>
    <t xml:space="preserve"> 06-03-1972</t>
  </si>
  <si>
    <t>16 02 6 2 2 23-4572343</t>
  </si>
  <si>
    <t>446/2431/418.25/2020</t>
  </si>
  <si>
    <t xml:space="preserve"> 06-08-1974</t>
  </si>
  <si>
    <t>16 02 5 2 2 22-4468115</t>
  </si>
  <si>
    <t>446/17079/418.25/2022</t>
  </si>
  <si>
    <t>06/082027</t>
  </si>
  <si>
    <t>16 02 5 2 2 22-4533496</t>
  </si>
  <si>
    <t>446/1315/418.25/2023</t>
  </si>
  <si>
    <t>Lampiran Akurasi Data Personal Pegawai</t>
  </si>
  <si>
    <t xml:space="preserve"> 15-03-1975</t>
  </si>
  <si>
    <t>16 02 5 2 2 22-4258495</t>
  </si>
  <si>
    <t>446/6909/418.25/2022</t>
  </si>
  <si>
    <t>Pati</t>
  </si>
  <si>
    <t xml:space="preserve"> 17-11-1975</t>
  </si>
  <si>
    <t>16 02 5 2 2 22-4503131</t>
  </si>
  <si>
    <t>446/183/418.25/2023</t>
  </si>
  <si>
    <t xml:space="preserve"> 21-05-1976</t>
  </si>
  <si>
    <t>NIP PEGAWAI</t>
  </si>
  <si>
    <t>16 02 5 2 1 17-2096355</t>
  </si>
  <si>
    <t>446/21.304/418.25/2018</t>
  </si>
  <si>
    <t xml:space="preserve"> 07-05-1987</t>
  </si>
  <si>
    <t>ALAMAT</t>
  </si>
  <si>
    <t>EMAIL</t>
  </si>
  <si>
    <t>16 01 5 2 2 21-4011045</t>
  </si>
  <si>
    <t>KS.06/1813/418.25/2023</t>
  </si>
  <si>
    <t>NO HP</t>
  </si>
  <si>
    <t>Istikaroh</t>
  </si>
  <si>
    <t>NO NPWP</t>
  </si>
  <si>
    <t>19650614 199203 2 007</t>
  </si>
  <si>
    <t>NIK</t>
  </si>
  <si>
    <t>NO KK</t>
  </si>
  <si>
    <t>Surabaya</t>
  </si>
  <si>
    <t xml:space="preserve"> 06-05-1979</t>
  </si>
  <si>
    <t>NO BPJS</t>
  </si>
  <si>
    <t>NO KARPEG</t>
  </si>
  <si>
    <t>NO KARIS/KARSU</t>
  </si>
  <si>
    <t>16 01 5 2 2 19-3076593</t>
  </si>
  <si>
    <t>446/1334/418.25/2020</t>
  </si>
  <si>
    <t xml:space="preserve"> 26-03-1997</t>
  </si>
  <si>
    <t>Perawat Pelaksana</t>
  </si>
  <si>
    <t>16 01 5 2 1 19-3056011</t>
  </si>
  <si>
    <t>446/20242/418.25/2022</t>
  </si>
  <si>
    <t>NOMOR</t>
  </si>
  <si>
    <t>BERLAKU</t>
  </si>
  <si>
    <t>16 12 5 2 1 18-1578599</t>
  </si>
  <si>
    <t>19750423-200212-2-005</t>
  </si>
  <si>
    <t>SIP Proses Pengurusan</t>
  </si>
  <si>
    <t>Dsn. Balongjeruk Rt/Rw 001/001 Ds. Balongjeruk Kec. Kunjang</t>
  </si>
  <si>
    <t>nafisa.fariddr@gmail.com</t>
  </si>
  <si>
    <t>16 02 5 2 1 19-3055219</t>
  </si>
  <si>
    <t>446/1616/418.25/2022</t>
  </si>
  <si>
    <t xml:space="preserve">        -</t>
  </si>
  <si>
    <t>16 02 5 2 2 22-1195615</t>
  </si>
  <si>
    <t>446/11556/418.25/2022</t>
  </si>
  <si>
    <t>0812-5318-213</t>
  </si>
  <si>
    <t>24.933.183.6-655.000</t>
  </si>
  <si>
    <t>3506216304750001</t>
  </si>
  <si>
    <t>162303</t>
  </si>
  <si>
    <t>16 02 5 2 2 23-4622522</t>
  </si>
  <si>
    <t>KS.06/1440/418.25/2023</t>
  </si>
  <si>
    <t>19810604-200902-2-004</t>
  </si>
  <si>
    <t>drg. Putri Emyta L</t>
  </si>
  <si>
    <t>S 1</t>
  </si>
  <si>
    <t>Jl. Medang Kamolan II/18 Rt/Rw 032/008 Ds. Balowerti Kec. Kota Kab. Kediri</t>
  </si>
  <si>
    <t>putriemyta04@gmail.com</t>
  </si>
  <si>
    <t>0851-5747-8852</t>
  </si>
  <si>
    <t>34.359.132.7-531.000</t>
  </si>
  <si>
    <t>3506124406810001</t>
  </si>
  <si>
    <t>3571022812200010</t>
  </si>
  <si>
    <t>0000149032236</t>
  </si>
  <si>
    <t>16 02 5 2 1 19-3161528</t>
  </si>
  <si>
    <t>313387</t>
  </si>
  <si>
    <t>446/1344/418.25/2020</t>
  </si>
  <si>
    <t>19700508-199203-1-003</t>
  </si>
  <si>
    <t>Setya Budi,S Kep, Ners</t>
  </si>
  <si>
    <t>Dsn. Pulorejo Rt/Rw 001/019 Ds. Krecek Kec. Badas</t>
  </si>
  <si>
    <t>setyab71@gmail.com</t>
  </si>
  <si>
    <t>10 Thn 0 Bln</t>
  </si>
  <si>
    <t>16 02 5 2 1 19-2426282</t>
  </si>
  <si>
    <t>446/19.141/418.25/2019</t>
  </si>
  <si>
    <t>0812-4984-8689</t>
  </si>
  <si>
    <t>64.332.469.2-655.000</t>
  </si>
  <si>
    <t>3506260805700002</t>
  </si>
  <si>
    <t>3506261312101101</t>
  </si>
  <si>
    <t>0000112331092</t>
  </si>
  <si>
    <t>16 09 5 2 1 18-2390027</t>
  </si>
  <si>
    <t>19671215-198811-2-002</t>
  </si>
  <si>
    <t>Jema'i.,Amd.Keb</t>
  </si>
  <si>
    <t>Dsn. Blereng Rt/Rw 002/004 Ds. Sumberjo KeC. Purwoasri</t>
  </si>
  <si>
    <t>446/18.069/418.25/2019</t>
  </si>
  <si>
    <t>jemaimai67@gmail.com</t>
  </si>
  <si>
    <t>Desi Natalia, Sst</t>
  </si>
  <si>
    <t>0857-3269-9849</t>
  </si>
  <si>
    <t>64.317.176.2-655.000</t>
  </si>
  <si>
    <t>3506155512670001</t>
  </si>
  <si>
    <t>3506152604210002</t>
  </si>
  <si>
    <t>0000108061683</t>
  </si>
  <si>
    <t>734468</t>
  </si>
  <si>
    <t>Madiun</t>
  </si>
  <si>
    <t>19691030-199203-2-008</t>
  </si>
  <si>
    <t>Luluk Listyaningsih.,Amd.Gz</t>
  </si>
  <si>
    <t xml:space="preserve">Dsn. Kunjang Kidul Rt/Rw 003/001 Ds. Kunjang Kec. Kunjang </t>
  </si>
  <si>
    <t>listyaningsihluluk@gmail.com</t>
  </si>
  <si>
    <t>0852-3126-6158</t>
  </si>
  <si>
    <t>64.317.191.1-655.000</t>
  </si>
  <si>
    <t>3506217010690003</t>
  </si>
  <si>
    <t>3506211512100528</t>
  </si>
  <si>
    <t>0000108447546</t>
  </si>
  <si>
    <t>054048</t>
  </si>
  <si>
    <t>283980</t>
  </si>
  <si>
    <t>19810704-200901-1-004</t>
  </si>
  <si>
    <t>Daril Rahmatullah.,S.Farm</t>
  </si>
  <si>
    <t>Jl. Supriyadi No.108 Rt/Rw 002/005 Desa Kudu Kec. Kertosono</t>
  </si>
  <si>
    <t>daril2day@gmail.com</t>
  </si>
  <si>
    <t>0817-0419-935</t>
  </si>
  <si>
    <t>24.204.476.6-655.000</t>
  </si>
  <si>
    <t>3518080407810002</t>
  </si>
  <si>
    <t>STR dan SIP belum ada</t>
  </si>
  <si>
    <t>dr. Moch. Edwin Adriyanto</t>
  </si>
  <si>
    <t>3506131312820001</t>
  </si>
  <si>
    <t>19710125-199203-2-010</t>
  </si>
  <si>
    <t>Yuanendah, SST</t>
  </si>
  <si>
    <t>Dsn. Maduh Rt/Rw 012/005 Ds. Pakis Kec. Kunjang</t>
  </si>
  <si>
    <t>yuanendah4@gmail.com</t>
  </si>
  <si>
    <t>446/15915/418.25/20220</t>
  </si>
  <si>
    <t>0822-5716-2779</t>
  </si>
  <si>
    <t>64.317.172.1-655.000</t>
  </si>
  <si>
    <t>3506216501710002</t>
  </si>
  <si>
    <t>3506212301200013</t>
  </si>
  <si>
    <t>0000108062177</t>
  </si>
  <si>
    <t>16 14 5 2 1 19-3114432</t>
  </si>
  <si>
    <t>446/19670/418.25/2020</t>
  </si>
  <si>
    <t>056043</t>
  </si>
  <si>
    <t>19810801-200604-2-027</t>
  </si>
  <si>
    <t>Barokatul Fitriah S.Kep, Ners</t>
  </si>
  <si>
    <t xml:space="preserve">Dsn. Gampengrejo Rt/Rw 003/001 Ds. Ngampel Kec. Papar </t>
  </si>
  <si>
    <t>bfitriah94@gmail.com</t>
  </si>
  <si>
    <t>0857-3642-2226</t>
  </si>
  <si>
    <t>66.794.113.2-655.000</t>
  </si>
  <si>
    <t>3506144108810002</t>
  </si>
  <si>
    <t>3506141208110002</t>
  </si>
  <si>
    <t>0000108061468</t>
  </si>
  <si>
    <t>16 02 5 2 1 18-2200918</t>
  </si>
  <si>
    <t>205705</t>
  </si>
  <si>
    <t>446/4569/418.25/2022</t>
  </si>
  <si>
    <t>19780908-199903-2-001</t>
  </si>
  <si>
    <t>Fitri Ariani I Amd, AK</t>
  </si>
  <si>
    <t>Dsn. Muneng Wetan Rt/Rw 001/004 Ds. Muneng Kec. Purwoasri</t>
  </si>
  <si>
    <t>nabilazzamorin@gmail.com</t>
  </si>
  <si>
    <t>Rise Nisa' Meiula Naaifah</t>
  </si>
  <si>
    <t>9 Thn 0 Bln</t>
  </si>
  <si>
    <t>0857-0689-7974</t>
  </si>
  <si>
    <t>70.947.843.2-602.000</t>
  </si>
  <si>
    <t>3517014809780002</t>
  </si>
  <si>
    <t>16 10 5 2 1 22-4152697</t>
  </si>
  <si>
    <t>3506152808200003</t>
  </si>
  <si>
    <t>0000108061536</t>
  </si>
  <si>
    <t>102763</t>
  </si>
  <si>
    <t>19660909-198801-2-002</t>
  </si>
  <si>
    <t xml:space="preserve">Dusun. Kapi Rt/Rw 008/002 Desa.Kapi Kec.Kunjang </t>
  </si>
  <si>
    <t>09091966@gmail.com</t>
  </si>
  <si>
    <t>Devi Ardianti, Se</t>
  </si>
  <si>
    <t>0813-3596-7481</t>
  </si>
  <si>
    <t>64.317.174.7-655.000</t>
  </si>
  <si>
    <t>3506214909660002</t>
  </si>
  <si>
    <t>3506210912104148</t>
  </si>
  <si>
    <t>0000108061615</t>
  </si>
  <si>
    <t>820305</t>
  </si>
  <si>
    <t>19871127-201001-2-008</t>
  </si>
  <si>
    <t>Rinda Ari Puspita.,Amd.KG</t>
  </si>
  <si>
    <t>Dsn. Kuripan Rt/Rw 001/002 Ds. Kendalsari Kec. Sumobito Kab. Jombang</t>
  </si>
  <si>
    <t>rindaari39@gmail.com</t>
  </si>
  <si>
    <t>0821-4163-8954</t>
  </si>
  <si>
    <t>73.777.489.3-602.000</t>
  </si>
  <si>
    <t>3576026711870005</t>
  </si>
  <si>
    <t>3517111401150001</t>
  </si>
  <si>
    <t>0000200501987</t>
  </si>
  <si>
    <t>111454</t>
  </si>
  <si>
    <t>19960310-202203-1-005</t>
  </si>
  <si>
    <t>dr.Rizky Rachmat Kurniawan</t>
  </si>
  <si>
    <t>Jl. Arumdalu no.146 Rt/Rw 002/002 Ds.Brenggolo Kec.Plosoklaten</t>
  </si>
  <si>
    <t>Richie.rachmat@gmail.com</t>
  </si>
  <si>
    <t>0853-3121-8637</t>
  </si>
  <si>
    <t>91.775.407.9-724.000</t>
  </si>
  <si>
    <t>6408041003960005</t>
  </si>
  <si>
    <t>6408043110190015</t>
  </si>
  <si>
    <t>0000165972159</t>
  </si>
  <si>
    <t>19720306-200604-2-014</t>
  </si>
  <si>
    <t>Supatemi, SST</t>
  </si>
  <si>
    <t xml:space="preserve">Dsn. Juwet Rt/Rw 006/002 Ds. Juwet Kec. Kunjang </t>
  </si>
  <si>
    <t>supatemivio@gmail.com</t>
  </si>
  <si>
    <t>0812-1749-5433</t>
  </si>
  <si>
    <t>25.177.579.7-655.000</t>
  </si>
  <si>
    <t>3506214603720001</t>
  </si>
  <si>
    <t>3506212912110001</t>
  </si>
  <si>
    <t>0000108062087</t>
  </si>
  <si>
    <t>205742</t>
  </si>
  <si>
    <t>19740806-200604-2-022</t>
  </si>
  <si>
    <t>Anik Sri Purwati.,Amd.Keb</t>
  </si>
  <si>
    <t>Dsn. Klepek Rt/Rw 006/002 Ds. Klepek Kec. Kunjang</t>
  </si>
  <si>
    <t>aniksripurwanti41@gmail.com</t>
  </si>
  <si>
    <t>0822-3334-1030</t>
  </si>
  <si>
    <t>55.441.077.9-655.000</t>
  </si>
  <si>
    <t>3506214608740001</t>
  </si>
  <si>
    <t>3506210912100076</t>
  </si>
  <si>
    <t>0000108061424</t>
  </si>
  <si>
    <t>19741101-200604-2-014</t>
  </si>
  <si>
    <t>Enny Nurhayati.,Amd.Keb</t>
  </si>
  <si>
    <t>Dsn. Kuwik Rt/Rw 002/002 Ds. Kuwik Kec. Kunjang</t>
  </si>
  <si>
    <t>enny.nurhayati1974@gmail.com</t>
  </si>
  <si>
    <t>0856-0634-1768</t>
  </si>
  <si>
    <t>66.138.382.8-655.000</t>
  </si>
  <si>
    <t>3506214111740001</t>
  </si>
  <si>
    <t>3506211012102111</t>
  </si>
  <si>
    <t>0000108061514</t>
  </si>
  <si>
    <t>205710</t>
  </si>
  <si>
    <t>084372</t>
  </si>
  <si>
    <t>19750315-200604-2-031</t>
  </si>
  <si>
    <t>Sulisni.,Amd.Keb</t>
  </si>
  <si>
    <t>Dsn. Gambiran Rt/Rw 001/002 Ds. Parelor Kec. Kunjang</t>
  </si>
  <si>
    <t>sulisniabhi@gmail.com</t>
  </si>
  <si>
    <t>6 Thn 11 Bln</t>
  </si>
  <si>
    <t>0812-3215-6810</t>
  </si>
  <si>
    <t>64.317.179.6-655.000</t>
  </si>
  <si>
    <t>3506215503750001</t>
  </si>
  <si>
    <t>3506211012103142</t>
  </si>
  <si>
    <t>0000108320894</t>
  </si>
  <si>
    <t>205743</t>
  </si>
  <si>
    <t>009841</t>
  </si>
  <si>
    <t>19751117-200701-2-010</t>
  </si>
  <si>
    <t>Estu Rahayuningsih.,Amd.Keb</t>
  </si>
  <si>
    <t>Dsn. Bungkul Rt/Rw 004/007 Ds. Kapas Kec. Kunjang</t>
  </si>
  <si>
    <t>estuberlian@gmail.com</t>
  </si>
  <si>
    <t>Vivi Juni Mega A, S.tr.keb</t>
  </si>
  <si>
    <t>64.317.184.6-655.000</t>
  </si>
  <si>
    <t>3506215711750001</t>
  </si>
  <si>
    <t>3506210406120001</t>
  </si>
  <si>
    <t>0000108447243</t>
  </si>
  <si>
    <t>545918</t>
  </si>
  <si>
    <t>19760521-200701-2-012</t>
  </si>
  <si>
    <t>Prihatiningtyas.,Amd.Keb</t>
  </si>
  <si>
    <t>Dsn. Tenggerlor Rt/Rw 001/001 Ds. Tenggerlor Kec.Kunjang</t>
  </si>
  <si>
    <t>prihatiningtyas35@gmail.com</t>
  </si>
  <si>
    <t>0822-3063-6881</t>
  </si>
  <si>
    <t>55.617.482.9-655.000</t>
  </si>
  <si>
    <t>3506216105760001</t>
  </si>
  <si>
    <t>3506210712100412</t>
  </si>
  <si>
    <t>0000108447761</t>
  </si>
  <si>
    <t>19650614-199203-2-007</t>
  </si>
  <si>
    <t>Dsn. Wonorejo Rt/Rw 003/001 Ds. Wonorejo Kec. Kunjang</t>
  </si>
  <si>
    <t>istikarohayu@gmail.com</t>
  </si>
  <si>
    <t>0821-4238-8971</t>
  </si>
  <si>
    <t>64.317.182.0-655.000</t>
  </si>
  <si>
    <t>3506215406650002</t>
  </si>
  <si>
    <t>3506210912100603</t>
  </si>
  <si>
    <t>00001080616590</t>
  </si>
  <si>
    <t>989509</t>
  </si>
  <si>
    <t>19870803-201903-2-005</t>
  </si>
  <si>
    <t>Siti Aminah. Amd. Kep</t>
  </si>
  <si>
    <t>Jl. Anjasmoro No. 5 Rt/Rw 002/005 Ds. Pare Kec. Pare</t>
  </si>
  <si>
    <t>daniswara.shety@gmail.com</t>
  </si>
  <si>
    <t>0813-5717-2818</t>
  </si>
  <si>
    <t>83.362.987.6-655.000</t>
  </si>
  <si>
    <t>3506174308870002</t>
  </si>
  <si>
    <t>3506171907120022</t>
  </si>
  <si>
    <t>0001827151389</t>
  </si>
  <si>
    <t>02033841</t>
  </si>
  <si>
    <t>19970326-202012-2-013</t>
  </si>
  <si>
    <t>Dsn. Kapi Rt/Rw 002/001 Ds. Kapi Kec.Kunjang</t>
  </si>
  <si>
    <t xml:space="preserve">nuryanav@gmail.com </t>
  </si>
  <si>
    <t>0813-3314-3823</t>
  </si>
  <si>
    <t>96.961.365.2-655.000</t>
  </si>
  <si>
    <t>3506216603970003</t>
  </si>
  <si>
    <t>3506211011200001</t>
  </si>
  <si>
    <t>0002936133494</t>
  </si>
  <si>
    <t>19951125-202012-2-013</t>
  </si>
  <si>
    <t xml:space="preserve">Dsn. Juwono Rt/Rw 004/002 Ds. Juwono Kec. Kertosono </t>
  </si>
  <si>
    <t>noviaanjar25@gmail.com</t>
  </si>
  <si>
    <t>0895-3684 -08637</t>
  </si>
  <si>
    <t>41.031.886.9-655.000</t>
  </si>
  <si>
    <t>3518086511950002</t>
  </si>
  <si>
    <t>3518080810200010</t>
  </si>
  <si>
    <t>0002908128666</t>
  </si>
  <si>
    <t>19790506-201001-1-027</t>
  </si>
  <si>
    <t>Dsn. Menang Rt/Rw 002/004 Ds. Menang Kec. Pagu</t>
  </si>
  <si>
    <t>loencono79@gmail.com</t>
  </si>
  <si>
    <t>0813-3551-0010</t>
  </si>
  <si>
    <t>70.062.870.4-952.000</t>
  </si>
  <si>
    <t>9111020605790003</t>
  </si>
  <si>
    <t>3506111012150001</t>
  </si>
  <si>
    <t>0001306953156</t>
  </si>
  <si>
    <t>067509</t>
  </si>
  <si>
    <t>1 Thn 10 Bln</t>
  </si>
  <si>
    <t>02008812</t>
  </si>
  <si>
    <t>19930105-202221-2-001</t>
  </si>
  <si>
    <t xml:space="preserve">Dsn. Gebyaran Rt/Rw 004/006 Ds. Puhjarak Kec. Plemahan </t>
  </si>
  <si>
    <t>dinungwahyu7@gmail.com</t>
  </si>
  <si>
    <t>0857-9033-8197</t>
  </si>
  <si>
    <t>53.219.514.6-655.000</t>
  </si>
  <si>
    <t>3506164501930001</t>
  </si>
  <si>
    <t>3506160610170002</t>
  </si>
  <si>
    <t>0003281394993</t>
  </si>
  <si>
    <t>Anieta Yuni Purnawati, Amd.keb</t>
  </si>
  <si>
    <t>19870507-201402-2-001</t>
  </si>
  <si>
    <t>Mey Idayati, A.Md.Kep</t>
  </si>
  <si>
    <t>Dsn. Sugih Waras Rt/Rw 002/002 Ds.Kuwik Kec.Kunjang</t>
  </si>
  <si>
    <t>meiidayati34@gmail.com</t>
  </si>
  <si>
    <t>0856-4995-5671</t>
  </si>
  <si>
    <t>66.815.556.7-655.000</t>
  </si>
  <si>
    <t>3506214705870000</t>
  </si>
  <si>
    <t>3506211711160000</t>
  </si>
  <si>
    <t>0000675751623</t>
  </si>
  <si>
    <t>B 02002464</t>
  </si>
  <si>
    <t>BB 02001834</t>
  </si>
  <si>
    <t>503.2/586.1/kab/sipp/vll/2021</t>
  </si>
  <si>
    <t>Keterangan :</t>
  </si>
  <si>
    <t>Kepala UPTD Puskesmas Kunjang</t>
  </si>
  <si>
    <t>Format File dalam bentuk excel</t>
  </si>
  <si>
    <t>Penulisan NIP diberi tanda strip "-" (Sesuai Contoh)</t>
  </si>
  <si>
    <t>29 Thn 0 Bln</t>
  </si>
  <si>
    <t>8 Thn 0 Bln</t>
  </si>
  <si>
    <t>6 Thn 0 Bln</t>
  </si>
  <si>
    <t>7 Thn 11 Bln</t>
  </si>
  <si>
    <t xml:space="preserve">SIP </t>
  </si>
  <si>
    <t>5 Thn 11 Bln</t>
  </si>
  <si>
    <t>BU AFIS</t>
  </si>
  <si>
    <t>STR MATI</t>
  </si>
  <si>
    <t>ENDAH</t>
  </si>
  <si>
    <t>sip tidak ada</t>
  </si>
  <si>
    <t>bu fitri</t>
  </si>
  <si>
    <t>mati semua</t>
  </si>
  <si>
    <t>bu rinda</t>
  </si>
  <si>
    <t>sip mati</t>
  </si>
  <si>
    <t>Cendy Santia Ks, Amd Ak</t>
  </si>
  <si>
    <t>dr rizky</t>
  </si>
  <si>
    <t>bu supatemi</t>
  </si>
  <si>
    <t>bu tyas</t>
  </si>
  <si>
    <t>tidak ada semua</t>
  </si>
  <si>
    <t>novi</t>
  </si>
  <si>
    <t>della</t>
  </si>
  <si>
    <t>indri</t>
  </si>
  <si>
    <t>cendy</t>
  </si>
  <si>
    <t>dr edwin</t>
  </si>
  <si>
    <t>5 Thn 8 Bln</t>
  </si>
  <si>
    <t>DAFTAR STR DAN SIP PEGAWAI</t>
  </si>
  <si>
    <r>
      <rPr>
        <rFont val="Arial"/>
        <color theme="1"/>
        <sz val="8.0"/>
      </rPr>
      <t>Rise Nisa</t>
    </r>
    <r>
      <rPr>
        <rFont val="Calibri"/>
        <color theme="1"/>
        <sz val="8.0"/>
      </rPr>
      <t>'</t>
    </r>
    <r>
      <rPr>
        <rFont val="Arial"/>
        <color theme="1"/>
        <sz val="7.0"/>
      </rPr>
      <t xml:space="preserve"> Meiula Naaifah</t>
    </r>
  </si>
  <si>
    <t>3522100422022576</t>
  </si>
  <si>
    <t>16 09 5 2 21 23/4750531</t>
  </si>
  <si>
    <t>446/16.410/418.25/2028</t>
  </si>
  <si>
    <t>3 Thn 10 Bln</t>
  </si>
  <si>
    <t>446/18760/418.25/2022</t>
  </si>
  <si>
    <t>3511100120219553</t>
  </si>
  <si>
    <t>`</t>
  </si>
  <si>
    <t>YV00001133815193</t>
  </si>
  <si>
    <t>KS.06/198/418.25/9/2023</t>
  </si>
  <si>
    <t>16 02 5 2 2 23-4784611</t>
  </si>
  <si>
    <t>KS.06/707/418.25/9/2023</t>
  </si>
  <si>
    <t>16 09 5 2 2 23-4752009</t>
  </si>
  <si>
    <t>Shalikul Hadi, Skm</t>
  </si>
  <si>
    <t>KS.06/2021/418.25/2023</t>
  </si>
  <si>
    <t>STR Belum ada</t>
  </si>
  <si>
    <t>KET :</t>
  </si>
  <si>
    <t>STR Yang habis masa berlaku tahun 2023</t>
  </si>
  <si>
    <t>REKAP KINERJA PEGAWAI</t>
  </si>
  <si>
    <t>Tahun 2023</t>
  </si>
  <si>
    <t>Januari</t>
  </si>
  <si>
    <t>Februari</t>
  </si>
  <si>
    <t>Maret</t>
  </si>
  <si>
    <t>April</t>
  </si>
  <si>
    <t>Mei</t>
  </si>
  <si>
    <t>Rekam Medik</t>
  </si>
  <si>
    <t>Juni</t>
  </si>
  <si>
    <t>Nganjuk, 01-12-1987</t>
  </si>
  <si>
    <t>Juli</t>
  </si>
  <si>
    <t>Agustus</t>
  </si>
  <si>
    <t>September</t>
  </si>
  <si>
    <t>Mustainul Habibi</t>
  </si>
  <si>
    <t>Oktober</t>
  </si>
  <si>
    <t>November</t>
  </si>
  <si>
    <t>Desember</t>
  </si>
  <si>
    <t>Kinerja</t>
  </si>
  <si>
    <t>Prosentase</t>
  </si>
  <si>
    <t xml:space="preserve"> ( Menit )</t>
  </si>
  <si>
    <t xml:space="preserve"> ( % )</t>
  </si>
  <si>
    <t>127.70%</t>
  </si>
  <si>
    <t>113.56%</t>
  </si>
  <si>
    <t>131.11%</t>
  </si>
  <si>
    <t>75.85%</t>
  </si>
  <si>
    <t>100.59%</t>
  </si>
  <si>
    <t>95.56%</t>
  </si>
  <si>
    <t>110.37%</t>
  </si>
  <si>
    <t>120.44%</t>
  </si>
  <si>
    <t>80.44%</t>
  </si>
  <si>
    <t>119.56%</t>
  </si>
  <si>
    <t>82.67%</t>
  </si>
  <si>
    <t>98.67%</t>
  </si>
  <si>
    <t>71.11%</t>
  </si>
  <si>
    <t>Dokter Umum/2018</t>
  </si>
  <si>
    <t>110.67%</t>
  </si>
  <si>
    <t>122.67%</t>
  </si>
  <si>
    <t>121.78%</t>
  </si>
  <si>
    <t>Kota Baru, 20-02-1993</t>
  </si>
  <si>
    <t>76.96%</t>
  </si>
  <si>
    <t>98.81%</t>
  </si>
  <si>
    <t>62.67%</t>
  </si>
  <si>
    <t>110.96%</t>
  </si>
  <si>
    <t>67.11%</t>
  </si>
  <si>
    <t>92.44%</t>
  </si>
  <si>
    <t>134.07%</t>
  </si>
  <si>
    <t>Galih Catur Aji Setiawan</t>
  </si>
  <si>
    <t>139.41%</t>
  </si>
  <si>
    <t>41.33%</t>
  </si>
  <si>
    <t>82.96%</t>
  </si>
  <si>
    <t>132.49%</t>
  </si>
  <si>
    <t>103.33%</t>
  </si>
  <si>
    <t>133.11%</t>
  </si>
  <si>
    <t>137.33%</t>
  </si>
  <si>
    <t>99.78%</t>
  </si>
  <si>
    <t>58.37%</t>
  </si>
  <si>
    <t>117.33%</t>
  </si>
  <si>
    <t>42.22%</t>
  </si>
  <si>
    <t>79.11%</t>
  </si>
  <si>
    <t>81.78%</t>
  </si>
  <si>
    <t>84.44%</t>
  </si>
  <si>
    <t>127.93%</t>
  </si>
  <si>
    <t>63.04%</t>
  </si>
  <si>
    <t>57.20%</t>
  </si>
  <si>
    <t>44.07%</t>
  </si>
  <si>
    <t>18.67%</t>
  </si>
  <si>
    <t>71.93%</t>
  </si>
  <si>
    <t>23.26%</t>
  </si>
  <si>
    <t>122.59%</t>
  </si>
  <si>
    <t>113.11%</t>
  </si>
  <si>
    <t>116.22%</t>
  </si>
  <si>
    <t>102.22%</t>
  </si>
  <si>
    <t>88.44%</t>
  </si>
  <si>
    <t>120.89%</t>
  </si>
  <si>
    <t>80.89%</t>
  </si>
  <si>
    <t>119.11%</t>
  </si>
  <si>
    <t>125.63%</t>
  </si>
  <si>
    <t>132.74%</t>
  </si>
  <si>
    <t>136.67%</t>
  </si>
  <si>
    <t>107.93%</t>
  </si>
  <si>
    <t>104.89%</t>
  </si>
  <si>
    <t>81.26%</t>
  </si>
  <si>
    <t>120.22%</t>
  </si>
  <si>
    <t>98.25%</t>
  </si>
  <si>
    <t>100.37%</t>
  </si>
  <si>
    <t>129.63%</t>
  </si>
  <si>
    <t>108.81%</t>
  </si>
  <si>
    <t>122.89%</t>
  </si>
  <si>
    <t>113.48%</t>
  </si>
  <si>
    <t>108.89%</t>
  </si>
  <si>
    <t>97.11%</t>
  </si>
  <si>
    <t>111.33%</t>
  </si>
  <si>
    <t>132.67%</t>
  </si>
  <si>
    <t>124.89%</t>
  </si>
  <si>
    <t>DIII-Kebidanan/</t>
  </si>
  <si>
    <t>128.89%</t>
  </si>
  <si>
    <t>127.11%</t>
  </si>
  <si>
    <t>124.39%</t>
  </si>
  <si>
    <t>99.93%</t>
  </si>
  <si>
    <t>Kediri, 29-01-1997</t>
  </si>
  <si>
    <t>116.37%</t>
  </si>
  <si>
    <t>145.56%</t>
  </si>
  <si>
    <t>134.44%</t>
  </si>
  <si>
    <t>126.07%</t>
  </si>
  <si>
    <t>Binti Khotimatul Munawaroh</t>
  </si>
  <si>
    <t>133.19%</t>
  </si>
  <si>
    <t>ABSENSI KEGIATAN OUT BOND</t>
  </si>
  <si>
    <t>113.33%</t>
  </si>
  <si>
    <t>121.33%</t>
  </si>
  <si>
    <t>132.59%</t>
  </si>
  <si>
    <t>98.44%</t>
  </si>
  <si>
    <t>98.47%</t>
  </si>
  <si>
    <t>80.22%</t>
  </si>
  <si>
    <t>119.61%</t>
  </si>
  <si>
    <t>97.78%</t>
  </si>
  <si>
    <t>84.15%</t>
  </si>
  <si>
    <t>118.67%</t>
  </si>
  <si>
    <t>104.74%</t>
  </si>
  <si>
    <t>121.48%</t>
  </si>
  <si>
    <t>118.44%</t>
  </si>
  <si>
    <t>124.81%</t>
  </si>
  <si>
    <t>110.00%</t>
  </si>
  <si>
    <t>TGL 20 JANUARI 2024</t>
  </si>
  <si>
    <t>120.15%</t>
  </si>
  <si>
    <t>126.96%</t>
  </si>
  <si>
    <t>138.37%</t>
  </si>
  <si>
    <t>125.78%</t>
  </si>
  <si>
    <t>100.89%</t>
  </si>
  <si>
    <t>139.11%</t>
  </si>
  <si>
    <t>122.22%</t>
  </si>
  <si>
    <t>144.67%</t>
  </si>
  <si>
    <t>134.52%</t>
  </si>
  <si>
    <t xml:space="preserve"> Keluarga</t>
  </si>
  <si>
    <t>117.48%</t>
  </si>
  <si>
    <t>133.33%</t>
  </si>
  <si>
    <t>118.52%</t>
  </si>
  <si>
    <t>114.37%</t>
  </si>
  <si>
    <t>123.26%</t>
  </si>
  <si>
    <t>132.89%</t>
  </si>
  <si>
    <t>121.63%</t>
  </si>
  <si>
    <t>124.96%</t>
  </si>
  <si>
    <t>128.52%</t>
  </si>
  <si>
    <t>86.07%</t>
  </si>
  <si>
    <t>138.81%</t>
  </si>
  <si>
    <t>115.70%</t>
  </si>
  <si>
    <t>130.37%</t>
  </si>
  <si>
    <t>140.15%</t>
  </si>
  <si>
    <t>100.81%</t>
  </si>
  <si>
    <t>100.10%</t>
  </si>
  <si>
    <t>107.48%</t>
  </si>
  <si>
    <t>36.07%</t>
  </si>
  <si>
    <t>58.96%</t>
  </si>
  <si>
    <t>112.74%</t>
  </si>
  <si>
    <t>91.26%</t>
  </si>
  <si>
    <t>92.07%</t>
  </si>
  <si>
    <t>117.63%</t>
  </si>
  <si>
    <t>DIII-Keperawatan</t>
  </si>
  <si>
    <t>Jombang,29 juni 1999</t>
  </si>
  <si>
    <t>1 balita</t>
  </si>
  <si>
    <t>ABSEN SIANG</t>
  </si>
  <si>
    <t>Jombang, 24-02-1995</t>
  </si>
  <si>
    <t>Della Anandani Harefa</t>
  </si>
  <si>
    <t>TAHUN 2025</t>
  </si>
  <si>
    <t>HARI / TANGGAL :  Rabu, 22  Januari 2025</t>
  </si>
  <si>
    <t>TANDA TANGAN</t>
  </si>
  <si>
    <t>1 Balita</t>
  </si>
  <si>
    <t>RAPAT</t>
  </si>
  <si>
    <t>PIKET SORE</t>
  </si>
  <si>
    <t>SAKIT</t>
  </si>
  <si>
    <t>1 anak</t>
  </si>
  <si>
    <t xml:space="preserve">      </t>
  </si>
  <si>
    <t>0 Thn 10 Bln</t>
  </si>
  <si>
    <t>dr. Vicky</t>
  </si>
  <si>
    <t>D-III Teknologi Lab Medis /2018</t>
  </si>
  <si>
    <t>Kediri, 25-02-1997</t>
  </si>
  <si>
    <t>IJIN</t>
  </si>
  <si>
    <t>dr. Firdha</t>
  </si>
  <si>
    <t>Fenia Eldiana</t>
  </si>
  <si>
    <t>dr. Emi</t>
  </si>
  <si>
    <t>Rise Nisa' Meiula Naifah</t>
  </si>
  <si>
    <t>Ngronggot, 11/1/1997</t>
  </si>
  <si>
    <t xml:space="preserve"> Aide Bagus Lutfi Zakaria,a.md.kep</t>
  </si>
  <si>
    <t>ABSEN PIKET</t>
  </si>
  <si>
    <t>TAHUN 2024</t>
  </si>
  <si>
    <t>HARI / TANGGAL :  SABTU  /  23 NOVEMBER 2024</t>
  </si>
  <si>
    <t>Kediri, 15 Maret 1989</t>
  </si>
  <si>
    <t>Wenly Novi Newanda,a.md.keb</t>
  </si>
  <si>
    <t xml:space="preserve"> DIII Kebidanan / Tahun 2018</t>
  </si>
  <si>
    <t>Kediri, 29 Agustus 1994</t>
  </si>
  <si>
    <t>Dwi Lestari,a.md.keb</t>
  </si>
  <si>
    <r>
      <rPr>
        <rFont val="Arial"/>
        <color theme="1"/>
        <sz val="8.0"/>
      </rPr>
      <t xml:space="preserve">ika Bintari, </t>
    </r>
    <r>
      <rPr>
        <rFont val="Arial"/>
        <color rgb="FF1155CC"/>
        <sz val="8.0"/>
      </rPr>
      <t xml:space="preserve"> </t>
    </r>
    <r>
      <rPr>
        <rFont val="Arial"/>
        <color rgb="FF1155CC"/>
        <sz val="8.0"/>
        <u/>
      </rPr>
      <t>A.Md</t>
    </r>
    <r>
      <rPr>
        <rFont val="Arial"/>
        <color rgb="FF1155CC"/>
        <sz val="8.0"/>
      </rPr>
      <t>.</t>
    </r>
    <r>
      <rPr>
        <rFont val="Arial"/>
        <color theme="1"/>
        <sz val="8.0"/>
      </rPr>
      <t>Keb</t>
    </r>
  </si>
  <si>
    <t>0 Thn 4 Bln</t>
  </si>
  <si>
    <t>Kediri, 19 Mei 1991</t>
  </si>
  <si>
    <t>Ika Bintari,  A.md.keb</t>
  </si>
  <si>
    <t>Kediri, 21 Juli 2002</t>
  </si>
  <si>
    <t>Rinda Agustina,amd.gizi</t>
  </si>
  <si>
    <t>No.</t>
  </si>
  <si>
    <t>Status</t>
  </si>
  <si>
    <t>Jenis Kelamin</t>
  </si>
  <si>
    <t>Jenis Tenaga</t>
  </si>
  <si>
    <t>Nomor STR</t>
  </si>
  <si>
    <t>Masa Berlaku STR</t>
  </si>
  <si>
    <t>Tanggal SIP</t>
  </si>
  <si>
    <t>KUNJANG</t>
  </si>
  <si>
    <t>D-3 Gizi</t>
  </si>
  <si>
    <t>Perempuan</t>
  </si>
  <si>
    <t>Nutrisionis</t>
  </si>
  <si>
    <t>P2T/63/03.10/02/11/2018</t>
  </si>
  <si>
    <t>2018-2-13 s/d 2023-10-30</t>
  </si>
  <si>
    <t>SETYA BUDI</t>
  </si>
  <si>
    <t>S-1 ilmu Keperawatan</t>
  </si>
  <si>
    <t>Laki-Laki</t>
  </si>
  <si>
    <t>Perawat (Non Ners)</t>
  </si>
  <si>
    <t/>
  </si>
  <si>
    <t>13309/418.25/2022</t>
  </si>
  <si>
    <t>Fitri Ariani Isnaningtyas Amd, AK</t>
  </si>
  <si>
    <t>D-3 Analis Kesehatan</t>
  </si>
  <si>
    <t>Kesehatan Penyelia</t>
  </si>
  <si>
    <t>Medik (Analis Kesehatan)</t>
  </si>
  <si>
    <t>161452217-2135509</t>
  </si>
  <si>
    <t>2017-10-03 s/d 2022-09-08</t>
  </si>
  <si>
    <t>Enny Nurhayati</t>
  </si>
  <si>
    <t>D-3 Kebidanan</t>
  </si>
  <si>
    <t>Bidan Desa</t>
  </si>
  <si>
    <t>GU00000948508447</t>
  </si>
  <si>
    <t>446/09/418.25/2023</t>
  </si>
  <si>
    <t>Mahir</t>
  </si>
  <si>
    <t>160252117-2096355</t>
  </si>
  <si>
    <t>2017-02-17 s/d 2022-06-21</t>
  </si>
  <si>
    <t>446/8391/418.48/2015</t>
  </si>
  <si>
    <t>ANIETA YUNI PURNAWATI</t>
  </si>
  <si>
    <t>….</t>
  </si>
  <si>
    <t>YR00001205785763</t>
  </si>
  <si>
    <t>446/19/141/418.25/2019</t>
  </si>
  <si>
    <t>SITI AMINAH</t>
  </si>
  <si>
    <t>D-3 Keperawatan</t>
  </si>
  <si>
    <t>ZM00000866512883</t>
  </si>
  <si>
    <t>446/1935/418.25/2017</t>
  </si>
  <si>
    <t>KUNJANG, 1 Januari 2026</t>
  </si>
  <si>
    <t>Vivi Juni Mega Astutik</t>
  </si>
  <si>
    <t>S-1 ilmu Kebidanan</t>
  </si>
  <si>
    <t>Kontrak BLU/BLUD</t>
  </si>
  <si>
    <t>II00000974717555</t>
  </si>
  <si>
    <t>400,7,23,2/6390/418.25/2024</t>
  </si>
  <si>
    <t>Daril Rahmatullah</t>
  </si>
  <si>
    <t>Prof Profesi Apoteker</t>
  </si>
  <si>
    <t>Apoteker</t>
  </si>
  <si>
    <t>UGM/2005/12051</t>
  </si>
  <si>
    <t>2021-07-16 s/d 2023-07-04</t>
  </si>
  <si>
    <t>19810704/SIPA-35,06/2021/1162</t>
  </si>
  <si>
    <t>NURYANA VIDYA CAHYANINGRUM, A,Md.Kep</t>
  </si>
  <si>
    <t>PERAWAT</t>
  </si>
  <si>
    <t>160152119-3056011</t>
  </si>
  <si>
    <t>2019-02-08 s/d 2024-03-26</t>
  </si>
  <si>
    <t>446/2151/418.25/2023</t>
  </si>
  <si>
    <t>Novia Anjarwati, A.Md,Kes</t>
  </si>
  <si>
    <t>D-3 Kesehatan Lingkungan</t>
  </si>
  <si>
    <t>SANITARIAN</t>
  </si>
  <si>
    <t>Sanitasi Lingkungan</t>
  </si>
  <si>
    <t>161252118-1578599</t>
  </si>
  <si>
    <t>2016-10-02 s/d 2023-11-25</t>
  </si>
  <si>
    <t>163252118-1578599</t>
  </si>
  <si>
    <t>DINUNG WAHYU PURWANTI,Amd,Keb</t>
  </si>
  <si>
    <t>Bidan Klinis</t>
  </si>
  <si>
    <t>160252119-3055219</t>
  </si>
  <si>
    <t>2019-07-04 s/d 2024-01-05</t>
  </si>
  <si>
    <t>RIZKY RACHMAT KURNIAWAN</t>
  </si>
  <si>
    <t>S-1 ilmu Kedokteran</t>
  </si>
  <si>
    <t>Dokter</t>
  </si>
  <si>
    <t>LZ00000415830127</t>
  </si>
  <si>
    <t>Della Karisma Lutfiana</t>
  </si>
  <si>
    <t>WO00000963197522</t>
  </si>
  <si>
    <t xml:space="preserve">GALIH CATUR AJI SETIAWAN </t>
  </si>
  <si>
    <t>TV00000427758273</t>
  </si>
  <si>
    <t>400.7.22.2/7227/418.25/2024</t>
  </si>
  <si>
    <t>20</t>
  </si>
  <si>
    <t>VW00000250221224</t>
  </si>
  <si>
    <t>446/122110/418.25/2020</t>
  </si>
  <si>
    <t>TOTAL</t>
  </si>
  <si>
    <t>48</t>
  </si>
  <si>
    <r>
      <rPr>
        <rFont val="Arial"/>
        <color theme="1"/>
        <sz val="11.0"/>
      </rPr>
      <t>Rise Nisa</t>
    </r>
    <r>
      <rPr>
        <rFont val="Calibri"/>
        <color theme="1"/>
        <sz val="11.0"/>
      </rPr>
      <t>'</t>
    </r>
    <r>
      <rPr>
        <rFont val="Arial"/>
        <color theme="1"/>
        <sz val="11.0"/>
      </rPr>
      <t xml:space="preserve"> Meiula Naaifah</t>
    </r>
  </si>
  <si>
    <t>NIP/NIK</t>
  </si>
  <si>
    <t>DAFTAR HADIR  LOKAKARYA MINI</t>
  </si>
  <si>
    <t>10 DESEMBER TAHUN 2024</t>
  </si>
  <si>
    <t>DAFTAR KETIDAK HADIRAN PEGAWAI UPTD PUSKESMAS KUNJANG</t>
  </si>
  <si>
    <t>BULAN JANUARI 2025</t>
  </si>
  <si>
    <t>C</t>
  </si>
  <si>
    <t>S</t>
  </si>
  <si>
    <t>TP</t>
  </si>
  <si>
    <t>LAPORAN EVALUASI PELAKSANAAN ABSENSI SIPRES</t>
  </si>
  <si>
    <t>KEKURANGAN JAM KERJA</t>
  </si>
  <si>
    <t>ALASAN  KETIDAK HADIRAN</t>
  </si>
  <si>
    <t>KEKURANGAN JAM KUMULATIF SD/BLN INI</t>
  </si>
  <si>
    <t>ALASAN KETIDAK HADIRAN KUMULATIF SD/BLN INI</t>
  </si>
  <si>
    <t>TINDAKAN YG SUDAH DILAKSANAKAN OLEH SKPD</t>
  </si>
  <si>
    <t>Dalam Menit</t>
  </si>
  <si>
    <t>Dalam Hari</t>
  </si>
  <si>
    <t>Cuti</t>
  </si>
  <si>
    <t>Sakit</t>
  </si>
  <si>
    <t>Ijin</t>
  </si>
  <si>
    <t>dr.Galih Catur Aji Setiawan</t>
  </si>
  <si>
    <t>Anieta Yuni Purmawati,Amd.Keb</t>
  </si>
  <si>
    <t>Binti Khotimatul Munawaroh,Amd.Keb</t>
  </si>
  <si>
    <t>Della Anandani Harefa,Amd.Kep</t>
  </si>
  <si>
    <r>
      <rPr>
        <rFont val="Arial"/>
        <b/>
        <color theme="1"/>
        <sz val="9.0"/>
      </rPr>
      <t xml:space="preserve">              </t>
    </r>
    <r>
      <rPr>
        <rFont val="Arial"/>
        <b/>
        <color theme="1"/>
        <sz val="9.0"/>
        <u/>
      </rPr>
      <t>dr. Durotun Nafisa</t>
    </r>
  </si>
  <si>
    <t xml:space="preserve">       NIP. 19750423 200212 2 005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</si>
</sst>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-421]dd\ mmmm\ yyyy"/>
    <numFmt numFmtId="166" formatCode="M/d/yyyy"/>
    <numFmt numFmtId="167" formatCode="m/d/yyyy"/>
    <numFmt numFmtId="168" formatCode="mm/dd/yyyy"/>
    <numFmt numFmtId="169" formatCode="_-* #,##0_-;\-* #,##0_-;_-* &quot;-&quot;??_-;_-@"/>
    <numFmt numFmtId="170" formatCode="_-* #,##0.00_-;\-* #,##0.00_-;_-* &quot;-&quot;??_-;_-@"/>
    <numFmt numFmtId="171" formatCode="0.000"/>
  </numFmts>
  <fonts count="47">
    <font>
      <sz val="11.0"/>
      <color theme="1"/>
      <name val="Calibri"/>
      <scheme val="minor"/>
    </font>
    <font>
      <b/>
      <sz val="8.0"/>
      <color theme="1"/>
      <name val="Arial"/>
    </font>
    <font>
      <b/>
      <sz val="12.0"/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sz val="8.0"/>
      <color theme="1"/>
      <name val="Arial"/>
    </font>
    <font>
      <b/>
      <sz val="11.0"/>
      <color theme="1"/>
      <name val="Calibri"/>
    </font>
    <font/>
    <font>
      <sz val="12.0"/>
      <color theme="1"/>
      <name val="Arial"/>
    </font>
    <font>
      <sz val="8.0"/>
      <color rgb="FF000000"/>
      <name val="Arial"/>
    </font>
    <font>
      <color theme="1"/>
      <name val="Calibri"/>
      <scheme val="minor"/>
    </font>
    <font>
      <u/>
      <sz val="8.0"/>
      <color theme="1"/>
      <name val="Arial"/>
    </font>
    <font>
      <sz val="8.0"/>
      <color theme="1"/>
      <name val="Calibri"/>
    </font>
    <font>
      <b/>
      <u/>
      <sz val="8.0"/>
      <color theme="1"/>
      <name val="Arial"/>
    </font>
    <font>
      <u/>
      <sz val="8.0"/>
      <color theme="1"/>
      <name val="Arial"/>
    </font>
    <font>
      <u/>
      <sz val="8.0"/>
      <color theme="1"/>
      <name val="Arial"/>
    </font>
    <font>
      <sz val="10.0"/>
      <color theme="1"/>
      <name val="Arial"/>
    </font>
    <font>
      <sz val="8.0"/>
      <color rgb="FFFF0000"/>
      <name val="Arial"/>
    </font>
    <font>
      <b/>
      <sz val="14.0"/>
      <color theme="1"/>
      <name val="Arial"/>
    </font>
    <font>
      <u/>
      <sz val="10.0"/>
      <color theme="10"/>
      <name val="Arial"/>
    </font>
    <font>
      <u/>
      <sz val="11.0"/>
      <color rgb="FF0000FF"/>
      <name val="Calibri"/>
    </font>
    <font>
      <u/>
      <sz val="10.0"/>
      <color rgb="FF0000FF"/>
      <name val="Arial"/>
    </font>
    <font>
      <u/>
      <sz val="11.0"/>
      <color theme="10"/>
      <name val="Calibri"/>
    </font>
    <font>
      <u/>
      <sz val="10.0"/>
      <color rgb="FF0000FF"/>
      <name val="Arial"/>
    </font>
    <font>
      <u/>
      <sz val="10.0"/>
      <color theme="10"/>
      <name val="Arial"/>
    </font>
    <font>
      <u/>
      <sz val="10.0"/>
      <color rgb="FF0000FF"/>
      <name val="Arial"/>
    </font>
    <font>
      <u/>
      <sz val="11.0"/>
      <color rgb="FF0000FF"/>
      <name val="Calibri"/>
    </font>
    <font>
      <sz val="10.0"/>
      <color rgb="FF000000"/>
      <name val="Arial"/>
    </font>
    <font>
      <u/>
      <sz val="10.0"/>
      <color rgb="FF0000FF"/>
      <name val="Arial"/>
    </font>
    <font>
      <u/>
      <sz val="11.0"/>
      <color theme="10"/>
      <name val="Calibri"/>
    </font>
    <font>
      <sz val="11.0"/>
      <color theme="1"/>
      <name val="Arial"/>
    </font>
    <font>
      <sz val="14.0"/>
      <color theme="1"/>
      <name val="Arial"/>
    </font>
    <font>
      <sz val="12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b/>
      <sz val="11.0"/>
      <color theme="1"/>
      <name val="Arial"/>
    </font>
    <font>
      <sz val="11.0"/>
      <color rgb="FF000000"/>
      <name val="Arial"/>
    </font>
    <font>
      <sz val="10.0"/>
      <color theme="1"/>
      <name val="Calibri"/>
    </font>
    <font>
      <b/>
      <sz val="9.0"/>
      <color theme="1"/>
      <name val="Arial"/>
    </font>
    <font>
      <b/>
      <u/>
      <sz val="9.0"/>
      <color theme="1"/>
      <name val="Arial"/>
    </font>
    <font>
      <u/>
      <sz val="11.0"/>
      <color theme="1"/>
      <name val="Calibri"/>
    </font>
    <font>
      <sz val="9.0"/>
      <color theme="1"/>
      <name val="Arial"/>
    </font>
    <font>
      <sz val="9.0"/>
      <color theme="1"/>
      <name val="Times New Roman"/>
    </font>
    <font>
      <u/>
      <sz val="9.0"/>
      <color theme="1"/>
      <name val="Calibri"/>
    </font>
    <font>
      <u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A5A5A5"/>
        <bgColor rgb="FFA5A5A5"/>
      </patternFill>
    </fill>
    <fill>
      <patternFill patternType="solid">
        <fgColor rgb="FFC2D69B"/>
        <bgColor rgb="FFC2D69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</fills>
  <borders count="5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4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2" fillId="0" fontId="4" numFmtId="0" xfId="0" applyBorder="1" applyFont="1"/>
    <xf borderId="1" fillId="0" fontId="7" numFmtId="49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vertical="center" wrapText="1"/>
    </xf>
    <xf borderId="0" fillId="0" fontId="7" numFmtId="49" xfId="0" applyAlignment="1" applyFont="1" applyNumberFormat="1">
      <alignment vertical="center"/>
    </xf>
    <xf borderId="4" fillId="0" fontId="8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6" fillId="0" fontId="8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shrinkToFit="0" vertical="center" wrapText="1"/>
    </xf>
    <xf borderId="5" fillId="0" fontId="1" numFmtId="49" xfId="0" applyAlignment="1" applyBorder="1" applyFont="1" applyNumberFormat="1">
      <alignment horizontal="center" vertical="center"/>
    </xf>
    <xf borderId="3" fillId="0" fontId="7" numFmtId="49" xfId="0" applyAlignment="1" applyBorder="1" applyFont="1" applyNumberFormat="1">
      <alignment shrinkToFit="0" vertical="center" wrapText="1"/>
    </xf>
    <xf borderId="7" fillId="0" fontId="1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9" numFmtId="0" xfId="0" applyBorder="1" applyFont="1"/>
    <xf borderId="11" fillId="0" fontId="9" numFmtId="0" xfId="0" applyBorder="1" applyFont="1"/>
    <xf borderId="0" fillId="0" fontId="4" numFmtId="0" xfId="0" applyAlignment="1" applyFont="1">
      <alignment readingOrder="0"/>
    </xf>
    <xf borderId="12" fillId="0" fontId="8" numFmtId="0" xfId="0" applyAlignment="1" applyBorder="1" applyFont="1">
      <alignment horizontal="center" shrinkToFit="0" vertical="center" wrapText="1"/>
    </xf>
    <xf borderId="13" fillId="0" fontId="9" numFmtId="0" xfId="0" applyBorder="1" applyFont="1"/>
    <xf borderId="14" fillId="0" fontId="9" numFmtId="0" xfId="0" applyBorder="1" applyFont="1"/>
    <xf borderId="1" fillId="0" fontId="9" numFmtId="0" xfId="0" applyBorder="1" applyFont="1"/>
    <xf borderId="3" fillId="0" fontId="7" numFmtId="0" xfId="0" applyAlignment="1" applyBorder="1" applyFont="1">
      <alignment readingOrder="0" vertical="center"/>
    </xf>
    <xf borderId="15" fillId="0" fontId="9" numFmtId="0" xfId="0" applyBorder="1" applyFont="1"/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  <xf borderId="16" fillId="0" fontId="9" numFmtId="0" xfId="0" applyBorder="1" applyFont="1"/>
    <xf borderId="17" fillId="0" fontId="9" numFmtId="0" xfId="0" applyBorder="1" applyFont="1"/>
    <xf borderId="1" fillId="0" fontId="7" numFmtId="49" xfId="0" applyAlignment="1" applyBorder="1" applyFont="1" applyNumberFormat="1">
      <alignment horizontal="left" shrinkToFit="0" vertical="center" wrapText="1"/>
    </xf>
    <xf borderId="1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vertical="center"/>
    </xf>
    <xf borderId="1" fillId="0" fontId="7" numFmtId="14" xfId="0" applyAlignment="1" applyBorder="1" applyFont="1" applyNumberFormat="1">
      <alignment horizontal="center" shrinkToFit="0" vertical="center" wrapText="1"/>
    </xf>
    <xf borderId="3" fillId="0" fontId="7" numFmtId="15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ill="1" applyFont="1">
      <alignment shrinkToFit="0" vertical="center" wrapText="1"/>
    </xf>
    <xf borderId="3" fillId="0" fontId="4" numFmtId="165" xfId="0" applyBorder="1" applyFont="1" applyNumberFormat="1"/>
    <xf borderId="11" fillId="0" fontId="7" numFmtId="0" xfId="0" applyAlignment="1" applyBorder="1" applyFont="1">
      <alignment horizontal="center" shrinkToFit="0" vertical="center" wrapText="1"/>
    </xf>
    <xf borderId="3" fillId="2" fontId="7" numFmtId="49" xfId="0" applyAlignment="1" applyBorder="1" applyFill="1" applyFont="1" applyNumberFormat="1">
      <alignment shrinkToFit="0" vertical="center" wrapText="1"/>
    </xf>
    <xf borderId="18" fillId="2" fontId="4" numFmtId="0" xfId="0" applyAlignment="1" applyBorder="1" applyFill="1" applyFont="1">
      <alignment readingOrder="0"/>
    </xf>
    <xf borderId="18" fillId="2" fontId="4" numFmtId="0" xfId="0" applyBorder="1" applyFill="1" applyFont="1"/>
    <xf borderId="3" fillId="0" fontId="7" numFmtId="164" xfId="0" applyAlignment="1" applyBorder="1" applyFont="1" applyNumberForma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3" fillId="0" fontId="7" numFmtId="14" xfId="0" applyAlignment="1" applyBorder="1" applyFont="1" applyNumberFormat="1">
      <alignment horizontal="center" shrinkToFit="0" vertical="center" wrapText="1"/>
    </xf>
    <xf borderId="3" fillId="0" fontId="7" numFmtId="49" xfId="0" applyAlignment="1" applyBorder="1" applyFont="1" applyNumberFormat="1">
      <alignment vertical="center"/>
    </xf>
    <xf borderId="0" fillId="0" fontId="2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left" vertical="center"/>
    </xf>
    <xf borderId="1" fillId="0" fontId="7" numFmtId="49" xfId="0" applyAlignment="1" applyBorder="1" applyFont="1" applyNumberFormat="1">
      <alignment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4" numFmtId="0" xfId="0" applyAlignment="1" applyFont="1">
      <alignment vertical="center"/>
    </xf>
    <xf quotePrefix="1" borderId="3" fillId="0" fontId="7" numFmtId="49" xfId="0" applyAlignment="1" applyBorder="1" applyFont="1" applyNumberFormat="1">
      <alignment shrinkToFit="0" vertical="center" wrapText="1"/>
    </xf>
    <xf borderId="3" fillId="0" fontId="11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left" vertical="center"/>
    </xf>
    <xf borderId="3" fillId="0" fontId="7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left" vertical="center"/>
    </xf>
    <xf borderId="3" fillId="0" fontId="1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" fillId="0" fontId="7" numFmtId="49" xfId="0" applyBorder="1" applyFont="1" applyNumberFormat="1"/>
    <xf borderId="0" fillId="0" fontId="1" numFmtId="49" xfId="0" applyAlignment="1" applyFont="1" applyNumberFormat="1">
      <alignment horizontal="center" readingOrder="0" shrinkToFit="0" vertical="center" wrapText="1"/>
    </xf>
    <xf quotePrefix="1" borderId="3" fillId="0" fontId="7" numFmtId="49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3" fillId="2" fontId="7" numFmtId="49" xfId="0" applyAlignment="1" applyBorder="1" applyFill="1" applyFont="1" applyNumberFormat="1">
      <alignment horizontal="left" shrinkToFit="0" vertical="center" wrapText="1"/>
    </xf>
    <xf borderId="3" fillId="2" fontId="7" numFmtId="0" xfId="0" applyAlignment="1" applyBorder="1" applyFill="1" applyFont="1">
      <alignment horizontal="center" vertical="center"/>
    </xf>
    <xf borderId="3" fillId="2" fontId="7" numFmtId="164" xfId="0" applyAlignment="1" applyBorder="1" applyFill="1" applyFont="1" applyNumberFormat="1">
      <alignment horizontal="center" shrinkToFit="0" vertical="center" wrapText="1"/>
    </xf>
    <xf borderId="3" fillId="2" fontId="7" numFmtId="0" xfId="0" applyAlignment="1" applyBorder="1" applyFill="1" applyFont="1">
      <alignment horizontal="left" shrinkToFit="0" vertical="center" wrapText="1"/>
    </xf>
    <xf borderId="3" fillId="2" fontId="7" numFmtId="0" xfId="0" applyAlignment="1" applyBorder="1" applyFill="1" applyFont="1">
      <alignment horizontal="center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9" fillId="2" fontId="7" numFmtId="0" xfId="0" applyAlignment="1" applyBorder="1" applyFill="1" applyFont="1">
      <alignment horizontal="center" shrinkToFit="0" vertical="center" wrapText="1"/>
    </xf>
    <xf borderId="20" fillId="2" fontId="7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49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readingOrder="0" vertical="center"/>
    </xf>
    <xf borderId="1" fillId="0" fontId="7" numFmtId="166" xfId="0" applyAlignment="1" applyBorder="1" applyFont="1" applyNumberFormat="1">
      <alignment shrinkToFit="0" vertical="center" wrapText="1"/>
    </xf>
    <xf borderId="3" fillId="0" fontId="11" numFmtId="0" xfId="0" applyAlignment="1" applyBorder="1" applyFont="1">
      <alignment readingOrder="0" shrinkToFit="0" vertical="center" wrapText="0"/>
    </xf>
    <xf borderId="3" fillId="0" fontId="4" numFmtId="49" xfId="0" applyAlignment="1" applyBorder="1" applyFont="1" applyNumberFormat="1">
      <alignment readingOrder="0" vertical="center"/>
    </xf>
    <xf borderId="1" fillId="0" fontId="7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17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0"/>
    </xf>
    <xf borderId="3" fillId="0" fontId="7" numFmtId="14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center" vertical="center"/>
    </xf>
    <xf borderId="0" fillId="0" fontId="4" numFmtId="49" xfId="0" applyFont="1" applyNumberFormat="1"/>
    <xf borderId="17" fillId="0" fontId="7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readingOrder="0" shrinkToFit="0" vertical="center" wrapText="1"/>
    </xf>
    <xf borderId="3" fillId="0" fontId="7" numFmtId="0" xfId="0" applyBorder="1" applyFont="1"/>
    <xf borderId="0" fillId="0" fontId="12" numFmtId="0" xfId="0" applyAlignment="1" applyFont="1">
      <alignment vertical="center"/>
    </xf>
    <xf borderId="1" fillId="0" fontId="7" numFmtId="49" xfId="0" applyAlignment="1" applyBorder="1" applyFont="1" applyNumberFormat="1">
      <alignment horizontal="left" vertical="center"/>
    </xf>
    <xf borderId="1" fillId="0" fontId="11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1" numFmtId="14" xfId="0" applyAlignment="1" applyBorder="1" applyFont="1" applyNumberFormat="1">
      <alignment horizontal="center" shrinkToFit="0" vertical="center" wrapText="1"/>
    </xf>
    <xf borderId="15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3" fillId="0" fontId="11" numFmtId="14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readingOrder="0" shrinkToFit="0" vertical="center" wrapText="1"/>
    </xf>
    <xf quotePrefix="1" borderId="3" fillId="0" fontId="7" numFmtId="49" xfId="0" applyAlignment="1" applyBorder="1" applyFont="1" applyNumberFormat="1">
      <alignment horizontal="left" vertical="center"/>
    </xf>
    <xf borderId="3" fillId="0" fontId="7" numFmtId="49" xfId="0" applyAlignment="1" applyBorder="1" applyFont="1" applyNumberFormat="1">
      <alignment horizontal="left" vertical="center"/>
    </xf>
    <xf quotePrefix="1" borderId="3" fillId="0" fontId="11" numFmtId="14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wrapText="1"/>
    </xf>
    <xf borderId="0" fillId="0" fontId="7" numFmtId="49" xfId="0" applyAlignment="1" applyFont="1" applyNumberFormat="1">
      <alignment shrinkToFit="0" vertical="center" wrapText="0"/>
    </xf>
    <xf borderId="3" fillId="0" fontId="7" numFmtId="0" xfId="0" applyAlignment="1" applyBorder="1" applyFont="1">
      <alignment shrinkToFit="0" vertical="center" wrapText="0"/>
    </xf>
    <xf borderId="4" fillId="0" fontId="7" numFmtId="0" xfId="0" applyAlignment="1" applyBorder="1" applyFont="1">
      <alignment vertical="center"/>
    </xf>
    <xf borderId="3" fillId="0" fontId="7" numFmtId="166" xfId="0" applyAlignment="1" applyBorder="1" applyFont="1" applyNumberFormat="1">
      <alignment shrinkToFit="0" vertical="center" wrapText="1"/>
    </xf>
    <xf borderId="4" fillId="0" fontId="7" numFmtId="49" xfId="0" applyAlignment="1" applyBorder="1" applyFont="1" applyNumberFormat="1">
      <alignment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4" fillId="0" fontId="7" numFmtId="14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3" fillId="0" fontId="7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8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3" fillId="0" fontId="16" numFmtId="0" xfId="0" applyAlignment="1" applyBorder="1" applyFont="1">
      <alignment readingOrder="0" shrinkToFit="0" vertical="center" wrapText="1"/>
    </xf>
    <xf borderId="3" fillId="0" fontId="7" numFmtId="49" xfId="0" applyAlignment="1" applyBorder="1" applyFont="1" applyNumberFormat="1">
      <alignment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7" numFmtId="14" xfId="0" applyAlignment="1" applyBorder="1" applyFont="1" applyNumberFormat="1">
      <alignment horizontal="center" readingOrder="0" shrinkToFit="0" vertical="center" wrapText="1"/>
    </xf>
    <xf borderId="3" fillId="0" fontId="7" numFmtId="14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readingOrder="0" shrinkToFit="0" vertical="center" wrapText="0"/>
    </xf>
    <xf borderId="3" fillId="0" fontId="7" numFmtId="166" xfId="0" applyAlignment="1" applyBorder="1" applyFont="1" applyNumberFormat="1">
      <alignment readingOrder="0" shrinkToFit="0" vertical="center" wrapText="1"/>
    </xf>
    <xf borderId="3" fillId="0" fontId="7" numFmtId="0" xfId="0" applyAlignment="1" applyBorder="1" applyFont="1">
      <alignment readingOrder="0" shrinkToFit="0" vertical="center" wrapText="0"/>
    </xf>
    <xf borderId="11" fillId="0" fontId="7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167" xfId="0" applyAlignment="1" applyBorder="1" applyFont="1" applyNumberFormat="1">
      <alignment horizontal="center" readingOrder="0" shrinkToFit="0" vertical="center" wrapText="1"/>
    </xf>
    <xf borderId="11" fillId="0" fontId="7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horizontal="center"/>
    </xf>
    <xf borderId="3" fillId="0" fontId="4" numFmtId="0" xfId="0" applyAlignment="1" applyBorder="1" applyFont="1">
      <alignment horizontal="center" vertical="center"/>
    </xf>
    <xf borderId="3" fillId="0" fontId="4" numFmtId="1" xfId="0" applyAlignment="1" applyBorder="1" applyFont="1" applyNumberFormat="1">
      <alignment horizontal="center" vertical="center"/>
    </xf>
    <xf borderId="3" fillId="0" fontId="14" numFmtId="49" xfId="0" applyAlignment="1" applyBorder="1" applyFont="1" applyNumberFormat="1">
      <alignment vertical="center"/>
    </xf>
    <xf borderId="3" fillId="0" fontId="4" numFmtId="0" xfId="0" applyAlignment="1" applyBorder="1" applyFont="1">
      <alignment horizontal="center"/>
    </xf>
    <xf borderId="3" fillId="2" fontId="4" numFmtId="165" xfId="0" applyBorder="1" applyFill="1" applyFont="1" applyNumberFormat="1"/>
    <xf borderId="3" fillId="2" fontId="4" numFmtId="1" xfId="0" applyAlignment="1" applyBorder="1" applyFill="1" applyFont="1" applyNumberForma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3" fillId="0" fontId="10" numFmtId="49" xfId="0" applyAlignment="1" applyBorder="1" applyFont="1" applyNumberFormat="1">
      <alignment horizontal="left" shrinkToFit="0" vertical="center" wrapText="1"/>
    </xf>
    <xf borderId="3" fillId="2" fontId="4" numFmtId="0" xfId="0" applyAlignment="1" applyBorder="1" applyFill="1" applyFont="1">
      <alignment horizontal="center"/>
    </xf>
    <xf borderId="0" fillId="0" fontId="12" numFmtId="0" xfId="0" applyFont="1"/>
    <xf borderId="11" fillId="0" fontId="7" numFmtId="49" xfId="0" applyAlignment="1" applyBorder="1" applyFont="1" applyNumberForma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3" fillId="0" fontId="4" numFmtId="0" xfId="0" applyBorder="1" applyFont="1"/>
    <xf borderId="21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shrinkToFit="0" vertical="center" wrapText="1"/>
    </xf>
    <xf borderId="3" fillId="2" fontId="7" numFmtId="0" xfId="0" applyAlignment="1" applyBorder="1" applyFill="1" applyFont="1">
      <alignment shrinkToFit="0" vertical="center" wrapText="1"/>
    </xf>
    <xf borderId="3" fillId="2" fontId="7" numFmtId="49" xfId="0" applyAlignment="1" applyBorder="1" applyFill="1" applyFont="1" applyNumberFormat="1">
      <alignment shrinkToFit="0" vertical="center" wrapText="1"/>
    </xf>
    <xf borderId="19" fillId="2" fontId="7" numFmtId="0" xfId="0" applyAlignment="1" applyBorder="1" applyFill="1" applyFont="1">
      <alignment shrinkToFit="0" vertical="center" wrapText="1"/>
    </xf>
    <xf borderId="3" fillId="2" fontId="7" numFmtId="0" xfId="0" applyAlignment="1" applyBorder="1" applyFill="1" applyFont="1">
      <alignment readingOrder="0" shrinkToFit="0" vertical="center" wrapText="0"/>
    </xf>
    <xf borderId="20" fillId="2" fontId="7" numFmtId="0" xfId="0" applyAlignment="1" applyBorder="1" applyFill="1" applyFont="1">
      <alignment readingOrder="0" shrinkToFit="0" vertical="center" wrapText="1"/>
    </xf>
    <xf borderId="11" fillId="2" fontId="7" numFmtId="0" xfId="0" applyAlignment="1" applyBorder="1" applyFill="1" applyFont="1">
      <alignment shrinkToFit="0" vertical="center" wrapText="1"/>
    </xf>
    <xf borderId="3" fillId="2" fontId="7" numFmtId="0" xfId="0" applyAlignment="1" applyBorder="1" applyFill="1" applyFont="1">
      <alignment horizontal="left" shrinkToFit="0" vertical="center" wrapText="1"/>
    </xf>
    <xf borderId="3" fillId="2" fontId="7" numFmtId="0" xfId="0" applyAlignment="1" applyBorder="1" applyFill="1" applyFont="1">
      <alignment horizontal="center" shrinkToFit="0" vertical="center" wrapText="1"/>
    </xf>
    <xf borderId="3" fillId="2" fontId="17" numFmtId="0" xfId="0" applyAlignment="1" applyBorder="1" applyFill="1" applyFont="1">
      <alignment readingOrder="0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4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horizontal="center"/>
    </xf>
    <xf borderId="8" fillId="3" fontId="18" numFmtId="0" xfId="0" applyAlignment="1" applyBorder="1" applyFill="1" applyFont="1">
      <alignment horizontal="center" shrinkToFit="0" vertical="center" wrapText="1"/>
    </xf>
    <xf borderId="4" fillId="3" fontId="18" numFmtId="0" xfId="0" applyAlignment="1" applyBorder="1" applyFill="1" applyFont="1">
      <alignment horizontal="center" shrinkToFit="0" vertical="center" wrapText="1"/>
    </xf>
    <xf borderId="3" fillId="0" fontId="18" numFmtId="0" xfId="0" applyAlignment="1" applyBorder="1" applyFont="1">
      <alignment horizontal="center"/>
    </xf>
    <xf borderId="3" fillId="3" fontId="18" numFmtId="165" xfId="0" applyAlignment="1" applyBorder="1" applyFill="1" applyFont="1" applyNumberFormat="1">
      <alignment horizontal="center" shrinkToFit="0" vertical="center" wrapText="1"/>
    </xf>
    <xf borderId="3" fillId="3" fontId="18" numFmtId="0" xfId="0" applyAlignment="1" applyBorder="1" applyFill="1" applyFont="1">
      <alignment horizontal="center" shrinkToFit="0" vertical="center" wrapText="1"/>
    </xf>
    <xf borderId="15" fillId="0" fontId="7" numFmtId="49" xfId="0" applyAlignment="1" applyBorder="1" applyFont="1" applyNumberFormat="1">
      <alignment horizontal="left" shrinkToFit="0" vertical="center" wrapText="1"/>
    </xf>
    <xf borderId="3" fillId="0" fontId="7" numFmtId="14" xfId="0" applyBorder="1" applyFont="1" applyNumberFormat="1"/>
    <xf borderId="3" fillId="4" fontId="19" numFmtId="1" xfId="0" applyAlignment="1" applyBorder="1" applyFill="1" applyFont="1" applyNumberFormat="1">
      <alignment horizontal="left" shrinkToFit="0" vertical="top" wrapText="1"/>
    </xf>
    <xf borderId="3" fillId="4" fontId="19" numFmtId="14" xfId="0" applyAlignment="1" applyBorder="1" applyFill="1" applyFont="1" applyNumberFormat="1">
      <alignment horizontal="center" vertical="top"/>
    </xf>
    <xf borderId="3" fillId="0" fontId="7" numFmtId="0" xfId="0" applyAlignment="1" applyBorder="1" applyFont="1">
      <alignment horizontal="left" vertical="top"/>
    </xf>
    <xf borderId="3" fillId="0" fontId="7" numFmtId="14" xfId="0" applyAlignment="1" applyBorder="1" applyFont="1" applyNumberFormat="1">
      <alignment horizontal="center" vertical="top"/>
    </xf>
    <xf borderId="3" fillId="0" fontId="19" numFmtId="0" xfId="0" applyAlignment="1" applyBorder="1" applyFont="1">
      <alignment horizontal="left" vertical="top"/>
    </xf>
    <xf borderId="3" fillId="0" fontId="7" numFmtId="1" xfId="0" applyAlignment="1" applyBorder="1" applyFont="1" applyNumberFormat="1">
      <alignment horizontal="left" vertical="top"/>
    </xf>
    <xf borderId="23" fillId="0" fontId="7" numFmtId="1" xfId="0" applyAlignment="1" applyBorder="1" applyFont="1" applyNumberFormat="1">
      <alignment horizontal="center" vertical="top"/>
    </xf>
    <xf borderId="8" fillId="0" fontId="7" numFmtId="49" xfId="0" applyAlignment="1" applyBorder="1" applyFont="1" applyNumberFormat="1">
      <alignment horizontal="left" shrinkToFit="0" vertical="center" wrapText="1"/>
    </xf>
    <xf quotePrefix="1" borderId="3" fillId="0" fontId="7" numFmtId="0" xfId="0" applyAlignment="1" applyBorder="1" applyFont="1">
      <alignment horizontal="left"/>
    </xf>
    <xf borderId="3" fillId="0" fontId="7" numFmtId="0" xfId="0" applyAlignment="1" applyBorder="1" applyFont="1">
      <alignment horizontal="left"/>
    </xf>
    <xf borderId="11" fillId="0" fontId="7" numFmtId="14" xfId="0" applyAlignment="1" applyBorder="1" applyFont="1" applyNumberFormat="1">
      <alignment horizontal="center" shrinkToFit="0" vertical="center" wrapText="1"/>
    </xf>
    <xf borderId="3" fillId="4" fontId="7" numFmtId="0" xfId="0" applyAlignment="1" applyBorder="1" applyFill="1" applyFont="1">
      <alignment horizontal="left" vertical="top"/>
    </xf>
    <xf borderId="3" fillId="4" fontId="7" numFmtId="0" xfId="0" applyAlignment="1" applyBorder="1" applyFill="1" applyFont="1">
      <alignment horizontal="center" vertical="top"/>
    </xf>
    <xf borderId="3" fillId="0" fontId="19" numFmtId="0" xfId="0" applyAlignment="1" applyBorder="1" applyFont="1">
      <alignment horizontal="left"/>
    </xf>
    <xf borderId="3" fillId="2" fontId="7" numFmtId="0" xfId="0" applyAlignment="1" applyBorder="1" applyFill="1" applyFont="1">
      <alignment horizontal="left"/>
    </xf>
    <xf borderId="3" fillId="2" fontId="7" numFmtId="14" xfId="0" applyAlignment="1" applyBorder="1" applyFill="1" applyFont="1" applyNumberFormat="1">
      <alignment horizontal="center" vertical="top"/>
    </xf>
    <xf borderId="3" fillId="2" fontId="7" numFmtId="0" xfId="0" applyAlignment="1" applyBorder="1" applyFill="1" applyFont="1">
      <alignment horizontal="left" vertical="top"/>
    </xf>
    <xf borderId="3" fillId="4" fontId="19" numFmtId="0" xfId="0" applyAlignment="1" applyBorder="1" applyFill="1" applyFont="1">
      <alignment horizontal="left"/>
    </xf>
    <xf borderId="3" fillId="4" fontId="19" numFmtId="0" xfId="0" applyAlignment="1" applyBorder="1" applyFill="1" applyFont="1">
      <alignment horizontal="left" vertical="top"/>
    </xf>
    <xf borderId="1" fillId="0" fontId="7" numFmtId="14" xfId="0" applyAlignment="1" applyBorder="1" applyFont="1" applyNumberFormat="1">
      <alignment horizontal="center" shrinkToFit="0" vertical="center" wrapText="1"/>
    </xf>
    <xf borderId="3" fillId="5" fontId="7" numFmtId="0" xfId="0" applyAlignment="1" applyBorder="1" applyFill="1" applyFont="1">
      <alignment horizontal="left"/>
    </xf>
    <xf borderId="3" fillId="5" fontId="7" numFmtId="0" xfId="0" applyAlignment="1" applyBorder="1" applyFill="1" applyFont="1">
      <alignment horizontal="center" vertical="top"/>
    </xf>
    <xf borderId="3" fillId="5" fontId="7" numFmtId="0" xfId="0" applyAlignment="1" applyBorder="1" applyFill="1" applyFont="1">
      <alignment horizontal="left" vertical="top"/>
    </xf>
    <xf borderId="3" fillId="0" fontId="7" numFmtId="1" xfId="0" applyAlignment="1" applyBorder="1" applyFont="1" applyNumberFormat="1">
      <alignment horizontal="left"/>
    </xf>
    <xf borderId="3" fillId="0" fontId="7" numFmtId="0" xfId="0" applyAlignment="1" applyBorder="1" applyFont="1">
      <alignment horizontal="center" vertical="top"/>
    </xf>
    <xf borderId="0" fillId="0" fontId="20" numFmtId="0" xfId="0" applyAlignment="1" applyFont="1">
      <alignment horizontal="center"/>
    </xf>
    <xf borderId="19" fillId="2" fontId="7" numFmtId="49" xfId="0" applyAlignment="1" applyBorder="1" applyFill="1" applyFont="1" applyNumberFormat="1">
      <alignment horizontal="left" shrinkToFit="0" vertical="center" wrapText="1"/>
    </xf>
    <xf borderId="4" fillId="3" fontId="18" numFmtId="49" xfId="0" applyAlignment="1" applyBorder="1" applyFill="1" applyFont="1" applyNumberFormat="1">
      <alignment horizontal="center" shrinkToFit="0" vertical="center" wrapText="1"/>
    </xf>
    <xf borderId="3" fillId="0" fontId="7" numFmtId="49" xfId="0" applyAlignment="1" applyBorder="1" applyFont="1" applyNumberFormat="1">
      <alignment shrinkToFit="0" vertical="center" wrapText="0"/>
    </xf>
    <xf borderId="3" fillId="0" fontId="11" numFmtId="166" xfId="0" applyAlignment="1" applyBorder="1" applyFont="1" applyNumberFormat="1">
      <alignment readingOrder="0" shrinkToFit="0" vertical="center" wrapText="0"/>
    </xf>
    <xf borderId="4" fillId="3" fontId="18" numFmtId="0" xfId="0" applyAlignment="1" applyBorder="1" applyFill="1" applyFont="1">
      <alignment horizontal="center" vertical="center"/>
    </xf>
    <xf borderId="3" fillId="0" fontId="11" numFmtId="168" xfId="0" applyAlignment="1" applyBorder="1" applyFont="1" applyNumberFormat="1">
      <alignment horizontal="center" readingOrder="0" shrinkToFit="0" vertical="center" wrapText="0"/>
    </xf>
    <xf borderId="8" fillId="0" fontId="7" numFmtId="0" xfId="0" applyAlignment="1" applyBorder="1" applyFont="1">
      <alignment shrinkToFit="0" vertical="center" wrapText="0"/>
    </xf>
    <xf borderId="4" fillId="3" fontId="18" numFmtId="165" xfId="0" applyAlignment="1" applyBorder="1" applyFill="1" applyFont="1" applyNumberFormat="1">
      <alignment horizontal="center" shrinkToFit="0" vertical="center" wrapText="1"/>
    </xf>
    <xf borderId="3" fillId="0" fontId="7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left" shrinkToFit="0" vertical="center" wrapText="1"/>
    </xf>
    <xf borderId="3" fillId="2" fontId="19" numFmtId="0" xfId="0" applyAlignment="1" applyBorder="1" applyFill="1" applyFont="1">
      <alignment horizontal="left"/>
    </xf>
    <xf borderId="3" fillId="0" fontId="18" numFmtId="0" xfId="0" applyAlignment="1" applyBorder="1" applyFont="1">
      <alignment horizontal="left" vertical="top"/>
    </xf>
    <xf borderId="23" fillId="0" fontId="7" numFmtId="14" xfId="0" applyAlignment="1" applyBorder="1" applyFont="1" applyNumberFormat="1">
      <alignment horizontal="center" shrinkToFit="0" vertical="center" wrapText="1"/>
    </xf>
    <xf borderId="22" fillId="0" fontId="7" numFmtId="0" xfId="0" applyAlignment="1" applyBorder="1" applyFont="1">
      <alignment horizontal="center" shrinkToFit="0" vertical="center" wrapText="1"/>
    </xf>
    <xf borderId="22" fillId="0" fontId="7" numFmtId="0" xfId="0" applyAlignment="1" applyBorder="1" applyFont="1">
      <alignment horizontal="left" shrinkToFit="0" vertical="center" wrapText="1"/>
    </xf>
    <xf borderId="4" fillId="0" fontId="7" numFmtId="14" xfId="0" applyBorder="1" applyFont="1" applyNumberFormat="1"/>
    <xf borderId="22" fillId="0" fontId="7" numFmtId="164" xfId="0" applyAlignment="1" applyBorder="1" applyFont="1" applyNumberFormat="1">
      <alignment horizontal="center" shrinkToFit="0" vertical="center" wrapText="1"/>
    </xf>
    <xf borderId="24" fillId="2" fontId="7" numFmtId="0" xfId="0" applyAlignment="1" applyBorder="1" applyFill="1" applyFont="1">
      <alignment horizontal="center" shrinkToFit="0" vertical="center" wrapText="1"/>
    </xf>
    <xf borderId="25" fillId="2" fontId="7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/>
    </xf>
    <xf borderId="4" fillId="0" fontId="7" numFmtId="0" xfId="0" applyAlignment="1" applyBorder="1" applyFont="1">
      <alignment horizontal="left" vertical="top"/>
    </xf>
    <xf borderId="4" fillId="0" fontId="7" numFmtId="14" xfId="0" applyAlignment="1" applyBorder="1" applyFont="1" applyNumberFormat="1">
      <alignment horizontal="center" vertical="top"/>
    </xf>
    <xf borderId="15" fillId="0" fontId="7" numFmtId="49" xfId="0" applyAlignment="1" applyBorder="1" applyFont="1" applyNumberFormat="1">
      <alignment horizontal="left" vertical="center"/>
    </xf>
    <xf borderId="21" fillId="0" fontId="7" numFmtId="49" xfId="0" applyAlignment="1" applyBorder="1" applyFont="1" applyNumberFormat="1">
      <alignment vertical="center"/>
    </xf>
    <xf borderId="3" fillId="0" fontId="7" numFmtId="14" xfId="0" applyAlignment="1" applyBorder="1" applyFont="1" applyNumberFormat="1">
      <alignment horizontal="right"/>
    </xf>
    <xf borderId="3" fillId="0" fontId="7" numFmtId="0" xfId="0" applyAlignment="1" applyBorder="1" applyFont="1">
      <alignment horizontal="center"/>
    </xf>
    <xf borderId="3" fillId="0" fontId="7" numFmtId="14" xfId="0" applyAlignment="1" applyBorder="1" applyFont="1" applyNumberFormat="1">
      <alignment horizontal="center"/>
    </xf>
    <xf borderId="3" fillId="0" fontId="21" numFmtId="0" xfId="0" applyAlignment="1" applyBorder="1" applyFont="1">
      <alignment horizontal="left" vertical="top"/>
    </xf>
    <xf borderId="3" fillId="0" fontId="18" numFmtId="49" xfId="0" applyAlignment="1" applyBorder="1" applyFont="1" applyNumberFormat="1">
      <alignment horizontal="left" vertical="top"/>
    </xf>
    <xf borderId="1" fillId="0" fontId="7" numFmtId="0" xfId="0" applyAlignment="1" applyBorder="1" applyFont="1">
      <alignment horizontal="left" shrinkToFit="0" vertical="center" wrapText="0"/>
    </xf>
    <xf quotePrefix="1" borderId="3" fillId="0" fontId="18" numFmtId="0" xfId="0" applyAlignment="1" applyBorder="1" applyFont="1">
      <alignment horizontal="left" vertical="top"/>
    </xf>
    <xf borderId="16" fillId="0" fontId="7" numFmtId="49" xfId="0" applyAlignment="1" applyBorder="1" applyFont="1" applyNumberFormat="1">
      <alignment horizontal="left" vertical="center"/>
    </xf>
    <xf borderId="3" fillId="4" fontId="18" numFmtId="0" xfId="0" applyAlignment="1" applyBorder="1" applyFill="1" applyFont="1">
      <alignment horizontal="left" vertical="top"/>
    </xf>
    <xf borderId="1" fillId="0" fontId="7" numFmtId="49" xfId="0" applyAlignment="1" applyBorder="1" applyFont="1" applyNumberFormat="1">
      <alignment shrinkToFit="0" vertical="center" wrapText="0"/>
    </xf>
    <xf borderId="3" fillId="2" fontId="7" numFmtId="0" xfId="0" applyBorder="1" applyFill="1" applyFont="1"/>
    <xf borderId="3" fillId="0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left" shrinkToFit="0" wrapText="1"/>
    </xf>
    <xf quotePrefix="1" borderId="21" fillId="0" fontId="7" numFmtId="49" xfId="0" applyAlignment="1" applyBorder="1" applyFont="1" applyNumberFormat="1">
      <alignment shrinkToFit="0" vertical="center" wrapText="1"/>
    </xf>
    <xf borderId="3" fillId="5" fontId="7" numFmtId="0" xfId="0" applyBorder="1" applyFill="1" applyFont="1"/>
    <xf borderId="3" fillId="5" fontId="7" numFmtId="0" xfId="0" applyAlignment="1" applyBorder="1" applyFill="1" applyFont="1">
      <alignment horizontal="center" vertical="center"/>
    </xf>
    <xf borderId="1" fillId="0" fontId="11" numFmtId="14" xfId="0" applyAlignment="1" applyBorder="1" applyFont="1" applyNumberFormat="1">
      <alignment horizontal="center" shrinkToFit="0" vertical="center" wrapText="1"/>
    </xf>
    <xf borderId="3" fillId="5" fontId="7" numFmtId="0" xfId="0" applyAlignment="1" applyBorder="1" applyFill="1" applyFont="1">
      <alignment horizontal="center"/>
    </xf>
    <xf borderId="3" fillId="0" fontId="22" numFmtId="0" xfId="0" applyAlignment="1" applyBorder="1" applyFont="1">
      <alignment horizontal="left" readingOrder="0" vertical="top"/>
    </xf>
    <xf borderId="15" fillId="0" fontId="7" numFmtId="0" xfId="0" applyAlignment="1" applyBorder="1" applyFont="1">
      <alignment shrinkToFit="0" vertical="center" wrapText="0"/>
    </xf>
    <xf quotePrefix="1" borderId="3" fillId="0" fontId="18" numFmtId="49" xfId="0" applyAlignment="1" applyBorder="1" applyFont="1" applyNumberFormat="1">
      <alignment horizontal="left" vertical="top"/>
    </xf>
    <xf borderId="17" fillId="0" fontId="7" numFmtId="0" xfId="0" applyAlignment="1" applyBorder="1" applyFont="1">
      <alignment shrinkToFit="0" vertical="center" wrapText="0"/>
    </xf>
    <xf borderId="21" fillId="0" fontId="7" numFmtId="49" xfId="0" applyAlignment="1" applyBorder="1" applyFont="1" applyNumberFormat="1">
      <alignment shrinkToFit="0" vertical="center" wrapText="1"/>
    </xf>
    <xf borderId="17" fillId="0" fontId="7" numFmtId="0" xfId="0" applyAlignment="1" applyBorder="1" applyFont="1">
      <alignment readingOrder="0" shrinkToFit="0" vertical="center" wrapText="0"/>
    </xf>
    <xf borderId="3" fillId="0" fontId="23" numFmtId="0" xfId="0" applyAlignment="1" applyBorder="1" applyFont="1">
      <alignment horizontal="left" readingOrder="0" vertical="top"/>
    </xf>
    <xf quotePrefix="1" borderId="21" fillId="0" fontId="7" numFmtId="49" xfId="0" applyAlignment="1" applyBorder="1" applyFont="1" applyNumberFormat="1">
      <alignment horizontal="left" vertical="center"/>
    </xf>
    <xf borderId="1" fillId="0" fontId="11" numFmtId="0" xfId="0" applyAlignment="1" applyBorder="1" applyFont="1">
      <alignment shrinkToFit="0" vertical="center" wrapText="1"/>
    </xf>
    <xf borderId="3" fillId="4" fontId="19" numFmtId="0" xfId="0" applyBorder="1" applyFill="1" applyFont="1"/>
    <xf borderId="3" fillId="4" fontId="19" numFmtId="14" xfId="0" applyAlignment="1" applyBorder="1" applyFill="1" applyFont="1" applyNumberFormat="1">
      <alignment horizontal="center" vertical="center"/>
    </xf>
    <xf borderId="3" fillId="0" fontId="18" numFmtId="0" xfId="0" applyAlignment="1" applyBorder="1" applyFont="1">
      <alignment horizontal="left"/>
    </xf>
    <xf borderId="3" fillId="4" fontId="19" numFmtId="14" xfId="0" applyAlignment="1" applyBorder="1" applyFill="1" applyFont="1" applyNumberFormat="1">
      <alignment horizontal="center"/>
    </xf>
    <xf borderId="21" fillId="0" fontId="7" numFmtId="49" xfId="0" applyAlignment="1" applyBorder="1" applyFont="1" applyNumberFormat="1">
      <alignment horizontal="left" vertical="center"/>
    </xf>
    <xf borderId="3" fillId="0" fontId="24" numFmtId="0" xfId="0" applyAlignment="1" applyBorder="1" applyFont="1">
      <alignment horizontal="left"/>
    </xf>
    <xf quotePrefix="1" borderId="3" fillId="0" fontId="18" numFmtId="0" xfId="0" applyAlignment="1" applyBorder="1" applyFont="1">
      <alignment horizontal="left"/>
    </xf>
    <xf quotePrefix="1" borderId="8" fillId="0" fontId="7" numFmtId="49" xfId="0" applyAlignment="1" applyBorder="1" applyFont="1" applyNumberFormat="1">
      <alignment shrinkToFit="0" vertical="center" wrapText="1"/>
    </xf>
    <xf borderId="3" fillId="0" fontId="25" numFmtId="0" xfId="0" applyAlignment="1" applyBorder="1" applyFont="1">
      <alignment horizontal="left" readingOrder="0"/>
    </xf>
    <xf quotePrefix="1" borderId="3" fillId="0" fontId="18" numFmtId="49" xfId="0" applyAlignment="1" applyBorder="1" applyFont="1" applyNumberFormat="1">
      <alignment horizontal="left"/>
    </xf>
    <xf quotePrefix="1" borderId="3" fillId="2" fontId="18" numFmtId="0" xfId="0" applyAlignment="1" applyBorder="1" applyFill="1" applyFont="1">
      <alignment horizontal="left"/>
    </xf>
    <xf borderId="3" fillId="4" fontId="7" numFmtId="0" xfId="0" applyBorder="1" applyFill="1" applyFont="1"/>
    <xf borderId="3" fillId="4" fontId="7" numFmtId="0" xfId="0" applyAlignment="1" applyBorder="1" applyFill="1" applyFont="1">
      <alignment horizontal="center" vertical="center"/>
    </xf>
    <xf borderId="3" fillId="0" fontId="26" numFmtId="0" xfId="0" applyAlignment="1" applyBorder="1" applyFont="1">
      <alignment horizontal="left"/>
    </xf>
    <xf borderId="3" fillId="4" fontId="7" numFmtId="0" xfId="0" applyAlignment="1" applyBorder="1" applyFill="1" applyFont="1">
      <alignment horizontal="center"/>
    </xf>
    <xf borderId="3" fillId="2" fontId="19" numFmtId="0" xfId="0" applyBorder="1" applyFill="1" applyFont="1"/>
    <xf borderId="3" fillId="4" fontId="18" numFmtId="0" xfId="0" applyAlignment="1" applyBorder="1" applyFill="1" applyFont="1">
      <alignment horizontal="left"/>
    </xf>
    <xf quotePrefix="1" borderId="3" fillId="0" fontId="7" numFmtId="49" xfId="0" applyAlignment="1" applyBorder="1" applyFont="1" applyNumberFormat="1">
      <alignment shrinkToFit="0" vertical="center" wrapText="1"/>
    </xf>
    <xf borderId="8" fillId="0" fontId="7" numFmtId="49" xfId="0" applyAlignment="1" applyBorder="1" applyFont="1" applyNumberFormat="1">
      <alignment vertical="center"/>
    </xf>
    <xf borderId="3" fillId="2" fontId="7" numFmtId="14" xfId="0" applyAlignment="1" applyBorder="1" applyFill="1" applyFont="1" applyNumberFormat="1">
      <alignment horizontal="center"/>
    </xf>
    <xf borderId="3" fillId="0" fontId="11" numFmtId="0" xfId="0" applyAlignment="1" applyBorder="1" applyFont="1">
      <alignment readingOrder="0" shrinkToFit="0" vertical="center" wrapText="1"/>
    </xf>
    <xf borderId="3" fillId="0" fontId="11" numFmtId="14" xfId="0" applyAlignment="1" applyBorder="1" applyFont="1" applyNumberFormat="1">
      <alignment horizontal="center" shrinkToFit="0" vertical="center" wrapText="1"/>
    </xf>
    <xf borderId="4" fillId="0" fontId="7" numFmtId="14" xfId="0" applyAlignment="1" applyBorder="1" applyFont="1" applyNumberFormat="1">
      <alignment horizontal="center" shrinkToFit="0" vertical="center" wrapText="1"/>
    </xf>
    <xf borderId="12" fillId="0" fontId="7" numFmtId="49" xfId="0" applyAlignment="1" applyBorder="1" applyFont="1" applyNumberFormat="1">
      <alignment vertical="center"/>
    </xf>
    <xf borderId="21" fillId="0" fontId="7" numFmtId="49" xfId="0" applyBorder="1" applyFont="1" applyNumberFormat="1"/>
    <xf borderId="3" fillId="0" fontId="18" numFmtId="49" xfId="0" applyAlignment="1" applyBorder="1" applyFont="1" applyNumberFormat="1">
      <alignment horizontal="left"/>
    </xf>
    <xf quotePrefix="1" borderId="3" fillId="0" fontId="18" numFmtId="0" xfId="0" applyAlignment="1" applyBorder="1" applyFont="1">
      <alignment horizontal="left" shrinkToFit="0" wrapText="1"/>
    </xf>
    <xf borderId="3" fillId="2" fontId="27" numFmtId="0" xfId="0" applyAlignment="1" applyBorder="1" applyFill="1" applyFont="1">
      <alignment horizontal="left" readingOrder="0"/>
    </xf>
    <xf borderId="3" fillId="0" fontId="28" numFmtId="0" xfId="0" applyAlignment="1" applyBorder="1" applyFont="1">
      <alignment horizontal="left" readingOrder="0"/>
    </xf>
    <xf borderId="3" fillId="0" fontId="7" numFmtId="0" xfId="0" applyAlignment="1" applyBorder="1" applyFont="1">
      <alignment readingOrder="0" shrinkToFit="0" vertical="center" wrapText="1"/>
    </xf>
    <xf borderId="3" fillId="0" fontId="7" numFmtId="166" xfId="0" applyAlignment="1" applyBorder="1" applyFont="1" applyNumberFormat="1">
      <alignment readingOrder="0" shrinkToFit="0" vertical="center" wrapText="0"/>
    </xf>
    <xf borderId="3" fillId="0" fontId="29" numFmtId="0" xfId="0" applyAlignment="1" applyBorder="1" applyFont="1">
      <alignment horizontal="left"/>
    </xf>
    <xf borderId="3" fillId="0" fontId="7" numFmtId="167" xfId="0" applyAlignment="1" applyBorder="1" applyFont="1" applyNumberFormat="1">
      <alignment horizontal="center" readingOrder="0" shrinkToFit="0" vertical="center" wrapText="0"/>
    </xf>
    <xf borderId="3" fillId="0" fontId="30" numFmtId="0" xfId="0" applyAlignment="1" applyBorder="1" applyFont="1">
      <alignment horizontal="left" readingOrder="0" shrinkToFit="0" wrapText="1"/>
    </xf>
    <xf borderId="22" fillId="0" fontId="18" numFmtId="0" xfId="0" applyAlignment="1" applyBorder="1" applyFont="1">
      <alignment horizontal="center" shrinkToFit="0" vertical="center" wrapText="1"/>
    </xf>
    <xf borderId="22" fillId="0" fontId="18" numFmtId="0" xfId="0" applyAlignment="1" applyBorder="1" applyFont="1">
      <alignment horizontal="left" shrinkToFit="0" wrapText="1"/>
    </xf>
    <xf borderId="22" fillId="0" fontId="18" numFmtId="0" xfId="0" applyAlignment="1" applyBorder="1" applyFont="1">
      <alignment horizontal="left"/>
    </xf>
    <xf borderId="0" fillId="0" fontId="31" numFmtId="0" xfId="0" applyFont="1"/>
    <xf quotePrefix="1" borderId="0" fillId="0" fontId="4" numFmtId="1" xfId="0" applyFont="1" applyNumberFormat="1"/>
    <xf quotePrefix="1" borderId="0" fillId="0" fontId="4" numFmtId="0" xfId="0" applyFont="1"/>
    <xf borderId="3" fillId="0" fontId="7" numFmtId="16" xfId="0" applyAlignment="1" applyBorder="1" applyFont="1" applyNumberFormat="1">
      <alignment horizontal="center" vertical="top"/>
    </xf>
    <xf borderId="0" fillId="0" fontId="4" numFmtId="0" xfId="0" applyAlignment="1" applyFont="1">
      <alignment horizontal="left" vertical="top"/>
    </xf>
    <xf borderId="0" fillId="0" fontId="10" numFmtId="0" xfId="0" applyFont="1"/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vertical="top"/>
    </xf>
    <xf borderId="3" fillId="0" fontId="7" numFmtId="0" xfId="0" applyAlignment="1" applyBorder="1" applyFont="1">
      <alignment horizontal="left" shrinkToFit="0" vertical="center" wrapText="0"/>
    </xf>
    <xf quotePrefix="1" borderId="3" fillId="0" fontId="11" numFmtId="14" xfId="0" applyAlignment="1" applyBorder="1" applyFont="1" applyNumberFormat="1">
      <alignment horizontal="center" shrinkToFit="0" vertical="center" wrapText="1"/>
    </xf>
    <xf borderId="3" fillId="0" fontId="7" numFmtId="14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horizontal="center"/>
    </xf>
    <xf borderId="3" fillId="0" fontId="32" numFmtId="0" xfId="0" applyAlignment="1" applyBorder="1" applyFont="1">
      <alignment horizontal="center"/>
    </xf>
    <xf borderId="3" fillId="0" fontId="32" numFmtId="0" xfId="0" applyAlignment="1" applyBorder="1" applyFont="1">
      <alignment horizontal="left" shrinkToFit="0" vertical="center" wrapText="1"/>
    </xf>
    <xf quotePrefix="1" borderId="3" fillId="0" fontId="32" numFmtId="0" xfId="0" applyAlignment="1" applyBorder="1" applyFont="1">
      <alignment horizontal="left" vertical="top"/>
    </xf>
    <xf borderId="3" fillId="0" fontId="7" numFmtId="0" xfId="0" applyAlignment="1" applyBorder="1" applyFont="1">
      <alignment readingOrder="0" shrinkToFit="0" vertical="center" wrapText="0"/>
    </xf>
    <xf borderId="3" fillId="0" fontId="32" numFmtId="0" xfId="0" applyAlignment="1" applyBorder="1" applyFont="1">
      <alignment horizontal="left" shrinkToFit="0" wrapText="1"/>
    </xf>
    <xf quotePrefix="1" borderId="3" fillId="0" fontId="32" numFmtId="0" xfId="0" applyAlignment="1" applyBorder="1" applyFont="1">
      <alignment horizontal="left"/>
    </xf>
    <xf borderId="3" fillId="0" fontId="32" numFmtId="0" xfId="0" applyAlignment="1" applyBorder="1" applyFont="1">
      <alignment horizontal="left"/>
    </xf>
    <xf quotePrefix="1" borderId="3" fillId="0" fontId="32" numFmtId="1" xfId="0" applyBorder="1" applyFont="1" applyNumberFormat="1"/>
    <xf borderId="3" fillId="0" fontId="32" numFmtId="0" xfId="0" applyAlignment="1" applyBorder="1" applyFont="1">
      <alignment horizontal="left" vertical="center"/>
    </xf>
    <xf borderId="3" fillId="0" fontId="32" numFmtId="49" xfId="0" applyAlignment="1" applyBorder="1" applyFont="1" applyNumberFormat="1">
      <alignment horizontal="left" vertical="center"/>
    </xf>
    <xf borderId="3" fillId="0" fontId="32" numFmtId="0" xfId="0" applyAlignment="1" applyBorder="1" applyFont="1">
      <alignment shrinkToFit="0" vertical="center" wrapText="1"/>
    </xf>
    <xf quotePrefix="1" borderId="3" fillId="0" fontId="32" numFmtId="49" xfId="0" applyAlignment="1" applyBorder="1" applyFont="1" applyNumberFormat="1">
      <alignment shrinkToFit="0" vertical="center" wrapText="1"/>
    </xf>
    <xf borderId="3" fillId="0" fontId="32" numFmtId="49" xfId="0" applyAlignment="1" applyBorder="1" applyFont="1" applyNumberFormat="1">
      <alignment shrinkToFit="0" vertical="center" wrapText="1"/>
    </xf>
    <xf quotePrefix="1" borderId="3" fillId="0" fontId="32" numFmtId="49" xfId="0" applyAlignment="1" applyBorder="1" applyFont="1" applyNumberFormat="1">
      <alignment horizontal="left" vertical="center"/>
    </xf>
    <xf borderId="3" fillId="0" fontId="7" numFmtId="0" xfId="0" applyAlignment="1" applyBorder="1" applyFont="1">
      <alignment horizontal="center" shrinkToFit="0" vertical="center" wrapText="0"/>
    </xf>
    <xf borderId="3" fillId="0" fontId="32" numFmtId="49" xfId="0" applyAlignment="1" applyBorder="1" applyFont="1" applyNumberFormat="1">
      <alignment vertical="center"/>
    </xf>
    <xf borderId="3" fillId="0" fontId="32" numFmtId="0" xfId="0" applyAlignment="1" applyBorder="1" applyFont="1">
      <alignment vertical="center"/>
    </xf>
    <xf borderId="3" fillId="0" fontId="32" numFmtId="49" xfId="0" applyBorder="1" applyFont="1" applyNumberFormat="1"/>
    <xf borderId="0" fillId="0" fontId="33" numFmtId="0" xfId="0" applyAlignment="1" applyFont="1">
      <alignment horizontal="center"/>
    </xf>
    <xf borderId="0" fillId="0" fontId="34" numFmtId="0" xfId="0" applyAlignment="1" applyFont="1">
      <alignment horizontal="center"/>
    </xf>
    <xf borderId="4" fillId="6" fontId="18" numFmtId="0" xfId="0" applyAlignment="1" applyBorder="1" applyFill="1" applyFont="1">
      <alignment horizontal="center" vertical="center"/>
    </xf>
    <xf borderId="8" fillId="6" fontId="18" numFmtId="0" xfId="0" applyAlignment="1" applyBorder="1" applyFill="1" applyFont="1">
      <alignment horizontal="center" shrinkToFit="0" vertical="center" wrapText="1"/>
    </xf>
    <xf borderId="4" fillId="6" fontId="18" numFmtId="0" xfId="0" applyAlignment="1" applyBorder="1" applyFill="1" applyFont="1">
      <alignment horizontal="center" shrinkToFit="0" vertical="center" wrapText="1"/>
    </xf>
    <xf borderId="3" fillId="6" fontId="18" numFmtId="165" xfId="0" applyAlignment="1" applyBorder="1" applyFill="1" applyFont="1" applyNumberFormat="1">
      <alignment horizontal="center" shrinkToFit="0" vertical="center" wrapText="1"/>
    </xf>
    <xf borderId="3" fillId="6" fontId="18" numFmtId="0" xfId="0" applyAlignment="1" applyBorder="1" applyFill="1" applyFont="1">
      <alignment horizontal="center" shrinkToFit="0" vertical="center" wrapText="1"/>
    </xf>
    <xf quotePrefix="1" borderId="3" fillId="0" fontId="7" numFmtId="1" xfId="0" applyAlignment="1" applyBorder="1" applyFont="1" applyNumberFormat="1">
      <alignment horizontal="left" vertical="top"/>
    </xf>
    <xf quotePrefix="1" borderId="3" fillId="0" fontId="7" numFmtId="1" xfId="0" applyAlignment="1" applyBorder="1" applyFont="1" applyNumberFormat="1">
      <alignment horizontal="left"/>
    </xf>
    <xf borderId="3" fillId="2" fontId="7" numFmtId="15" xfId="0" applyAlignment="1" applyBorder="1" applyFill="1" applyFont="1" applyNumberFormat="1">
      <alignment horizontal="center" vertical="top"/>
    </xf>
    <xf borderId="3" fillId="2" fontId="7" numFmtId="14" xfId="0" applyAlignment="1" applyBorder="1" applyFill="1" applyFont="1" applyNumberFormat="1">
      <alignment horizontal="center" vertical="center"/>
    </xf>
    <xf borderId="18" fillId="4" fontId="4" numFmtId="0" xfId="0" applyBorder="1" applyFill="1" applyFont="1"/>
    <xf borderId="18" fillId="4" fontId="7" numFmtId="0" xfId="0" applyAlignment="1" applyBorder="1" applyFill="1" applyFont="1">
      <alignment vertical="center"/>
    </xf>
    <xf borderId="3" fillId="4" fontId="7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ill="1" applyFont="1">
      <alignment shrinkToFit="0" vertical="center" wrapText="1"/>
    </xf>
    <xf borderId="3" fillId="4" fontId="7" numFmtId="14" xfId="0" applyAlignment="1" applyBorder="1" applyFill="1" applyFont="1" applyNumberFormat="1">
      <alignment horizontal="center" vertical="center"/>
    </xf>
    <xf borderId="3" fillId="4" fontId="7" numFmtId="0" xfId="0" applyAlignment="1" applyBorder="1" applyFill="1" applyFont="1">
      <alignment vertical="center"/>
    </xf>
    <xf quotePrefix="1" borderId="3" fillId="0" fontId="7" numFmtId="49" xfId="0" applyAlignment="1" applyBorder="1" applyFont="1" applyNumberFormat="1">
      <alignment readingOrder="0" shrinkToFit="0" vertical="center" wrapText="0"/>
    </xf>
    <xf borderId="4" fillId="0" fontId="35" numFmtId="0" xfId="0" applyAlignment="1" applyBorder="1" applyFont="1">
      <alignment horizontal="center" vertical="center"/>
    </xf>
    <xf borderId="12" fillId="0" fontId="35" numFmtId="0" xfId="0" applyAlignment="1" applyBorder="1" applyFont="1">
      <alignment horizontal="center"/>
    </xf>
    <xf borderId="6" fillId="0" fontId="35" numFmtId="0" xfId="0" applyAlignment="1" applyBorder="1" applyFont="1">
      <alignment horizontal="center"/>
    </xf>
    <xf borderId="0" fillId="0" fontId="36" numFmtId="0" xfId="0" applyFont="1"/>
    <xf borderId="22" fillId="0" fontId="9" numFmtId="0" xfId="0" applyBorder="1" applyFont="1"/>
    <xf borderId="24" fillId="7" fontId="35" numFmtId="0" xfId="0" applyAlignment="1" applyBorder="1" applyFill="1" applyFont="1">
      <alignment horizontal="center"/>
    </xf>
    <xf borderId="4" fillId="0" fontId="35" numFmtId="0" xfId="0" applyAlignment="1" applyBorder="1" applyFont="1">
      <alignment horizontal="center"/>
    </xf>
    <xf borderId="1" fillId="0" fontId="35" numFmtId="0" xfId="0" applyAlignment="1" applyBorder="1" applyFont="1">
      <alignment horizontal="center" vertical="center"/>
    </xf>
    <xf borderId="26" fillId="7" fontId="35" numFmtId="0" xfId="0" applyAlignment="1" applyBorder="1" applyFill="1" applyFont="1">
      <alignment horizontal="center"/>
    </xf>
    <xf borderId="1" fillId="0" fontId="35" numFmtId="0" xfId="0" applyAlignment="1" applyBorder="1" applyFont="1">
      <alignment horizontal="center"/>
    </xf>
    <xf borderId="1" fillId="0" fontId="4" numFmtId="169" xfId="0" applyBorder="1" applyFont="1" applyNumberFormat="1"/>
    <xf borderId="26" fillId="7" fontId="4" numFmtId="9" xfId="0" applyAlignment="1" applyBorder="1" applyFill="1" applyFont="1" applyNumberFormat="1">
      <alignment horizontal="center"/>
    </xf>
    <xf borderId="26" fillId="7" fontId="4" numFmtId="9" xfId="0" applyBorder="1" applyFill="1" applyFont="1" applyNumberFormat="1"/>
    <xf borderId="26" fillId="7" fontId="4" numFmtId="10" xfId="0" applyBorder="1" applyFill="1" applyFont="1" applyNumberFormat="1"/>
    <xf borderId="1" fillId="0" fontId="4" numFmtId="9" xfId="0" applyBorder="1" applyFont="1" applyNumberFormat="1"/>
    <xf borderId="3" fillId="0" fontId="4" numFmtId="9" xfId="0" applyBorder="1" applyFont="1" applyNumberFormat="1"/>
    <xf borderId="1" fillId="0" fontId="7" numFmtId="0" xfId="0" applyAlignment="1" applyBorder="1" applyFont="1">
      <alignment horizontal="left" readingOrder="0" shrinkToFit="0" vertical="center" wrapText="1"/>
    </xf>
    <xf borderId="3" fillId="7" fontId="4" numFmtId="9" xfId="0" applyAlignment="1" applyBorder="1" applyFill="1" applyFont="1" applyNumberFormat="1">
      <alignment horizontal="center"/>
    </xf>
    <xf borderId="3" fillId="7" fontId="4" numFmtId="9" xfId="0" applyBorder="1" applyFill="1" applyFont="1" applyNumberFormat="1"/>
    <xf borderId="3" fillId="7" fontId="4" numFmtId="10" xfId="0" applyBorder="1" applyFill="1" applyFont="1" applyNumberFormat="1"/>
    <xf borderId="3" fillId="0" fontId="4" numFmtId="10" xfId="0" applyBorder="1" applyFont="1" applyNumberFormat="1"/>
    <xf borderId="3" fillId="7" fontId="4" numFmtId="10" xfId="0" applyAlignment="1" applyBorder="1" applyFill="1" applyFont="1" applyNumberFormat="1">
      <alignment horizontal="center"/>
    </xf>
    <xf borderId="0" fillId="0" fontId="8" numFmtId="0" xfId="0" applyAlignment="1" applyFont="1">
      <alignment horizontal="center"/>
    </xf>
    <xf borderId="3" fillId="0" fontId="4" numFmtId="169" xfId="0" applyBorder="1" applyFont="1" applyNumberFormat="1"/>
    <xf borderId="4" fillId="0" fontId="37" numFmtId="0" xfId="0" applyAlignment="1" applyBorder="1" applyFont="1">
      <alignment horizontal="center" vertical="center"/>
    </xf>
    <xf borderId="3" fillId="0" fontId="4" numFmtId="170" xfId="0" applyBorder="1" applyFont="1" applyNumberFormat="1"/>
    <xf borderId="4" fillId="0" fontId="37" numFmtId="0" xfId="0" applyAlignment="1" applyBorder="1" applyFont="1">
      <alignment horizontal="center" shrinkToFit="0" vertical="center" wrapText="1"/>
    </xf>
    <xf borderId="3" fillId="0" fontId="32" numFmtId="0" xfId="0" applyAlignment="1" applyBorder="1" applyFont="1">
      <alignment horizontal="center" shrinkToFit="0" vertical="center" wrapText="1"/>
    </xf>
    <xf borderId="8" fillId="0" fontId="32" numFmtId="0" xfId="0" applyAlignment="1" applyBorder="1" applyFont="1">
      <alignment horizontal="center"/>
    </xf>
    <xf borderId="3" fillId="0" fontId="32" numFmtId="0" xfId="0" applyBorder="1" applyFont="1"/>
    <xf borderId="19" fillId="8" fontId="32" numFmtId="0" xfId="0" applyAlignment="1" applyBorder="1" applyFill="1" applyFont="1">
      <alignment horizontal="center"/>
    </xf>
    <xf borderId="3" fillId="2" fontId="32" numFmtId="0" xfId="0" applyAlignment="1" applyBorder="1" applyFill="1" applyFont="1">
      <alignment shrinkToFit="0" vertical="center" wrapText="1"/>
    </xf>
    <xf borderId="3" fillId="2" fontId="32" numFmtId="0" xfId="0" applyAlignment="1" applyBorder="1" applyFill="1" applyFont="1">
      <alignment horizontal="center" shrinkToFit="0" vertical="center" wrapText="1"/>
    </xf>
    <xf borderId="3" fillId="0" fontId="38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shrinkToFit="0" vertical="center" wrapText="1"/>
    </xf>
    <xf borderId="1" fillId="0" fontId="39" numFmtId="0" xfId="0" applyAlignment="1" applyBorder="1" applyFont="1">
      <alignment horizontal="left"/>
    </xf>
    <xf borderId="3" fillId="0" fontId="18" numFmtId="0" xfId="0" applyAlignment="1" applyBorder="1" applyFont="1">
      <alignment shrinkToFit="0" vertical="center" wrapText="1"/>
    </xf>
    <xf borderId="3" fillId="0" fontId="39" numFmtId="0" xfId="0" applyAlignment="1" applyBorder="1" applyFont="1">
      <alignment horizontal="center"/>
    </xf>
    <xf borderId="0" fillId="0" fontId="18" numFmtId="0" xfId="0" applyFont="1"/>
    <xf borderId="3" fillId="0" fontId="32" numFmtId="0" xfId="0" applyAlignment="1" applyBorder="1" applyFont="1">
      <alignment horizontal="center" shrinkToFit="0" wrapText="1"/>
    </xf>
    <xf borderId="3" fillId="2" fontId="18" numFmtId="0" xfId="0" applyAlignment="1" applyBorder="1" applyFill="1" applyFont="1">
      <alignment shrinkToFit="0" vertical="center" wrapText="1"/>
    </xf>
    <xf borderId="8" fillId="0" fontId="32" numFmtId="0" xfId="0" applyBorder="1" applyFont="1"/>
    <xf borderId="1" fillId="0" fontId="39" numFmtId="0" xfId="0" applyAlignment="1" applyBorder="1" applyFont="1">
      <alignment horizontal="center"/>
    </xf>
    <xf borderId="3" fillId="0" fontId="18" numFmtId="0" xfId="0" applyAlignment="1" applyBorder="1" applyFont="1">
      <alignment horizontal="left" vertical="center"/>
    </xf>
    <xf borderId="3" fillId="0" fontId="7" numFmtId="166" xfId="0" applyAlignment="1" applyBorder="1" applyFont="1" applyNumberFormat="1">
      <alignment shrinkToFit="0" vertical="center" wrapText="0"/>
    </xf>
    <xf borderId="3" fillId="0" fontId="39" numFmtId="0" xfId="0" applyAlignment="1" applyBorder="1" applyFont="1">
      <alignment horizontal="left"/>
    </xf>
    <xf borderId="3" fillId="0" fontId="18" numFmtId="0" xfId="0" applyAlignment="1" applyBorder="1" applyFont="1">
      <alignment vertical="center"/>
    </xf>
    <xf borderId="3" fillId="0" fontId="7" numFmtId="0" xfId="0" applyAlignment="1" applyBorder="1" applyFont="1">
      <alignment readingOrder="0" shrinkToFit="0" vertical="center" wrapText="0"/>
    </xf>
    <xf borderId="0" fillId="0" fontId="40" numFmtId="0" xfId="0" applyAlignment="1" applyFont="1">
      <alignment horizontal="center" vertical="center"/>
    </xf>
    <xf borderId="0" fillId="0" fontId="40" numFmtId="0" xfId="0" applyAlignment="1" applyFont="1">
      <alignment vertical="center"/>
    </xf>
    <xf borderId="0" fillId="0" fontId="40" numFmtId="49" xfId="0" applyAlignment="1" applyFont="1" applyNumberFormat="1">
      <alignment vertical="center"/>
    </xf>
    <xf borderId="0" fillId="0" fontId="41" numFmtId="0" xfId="0" applyAlignment="1" applyFont="1">
      <alignment horizontal="center" vertical="center"/>
    </xf>
    <xf borderId="0" fillId="0" fontId="40" numFmtId="49" xfId="0" applyAlignment="1" applyFont="1" applyNumberFormat="1">
      <alignment horizontal="center" vertical="center"/>
    </xf>
    <xf borderId="3" fillId="0" fontId="7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readingOrder="0" shrinkToFit="0" vertical="center" wrapText="0"/>
    </xf>
    <xf borderId="3" fillId="0" fontId="4" numFmtId="49" xfId="0" applyAlignment="1" applyBorder="1" applyFont="1" applyNumberFormat="1">
      <alignment readingOrder="0" shrinkToFit="0" vertical="center" wrapText="0"/>
    </xf>
    <xf borderId="3" fillId="0" fontId="4" numFmtId="0" xfId="0" applyAlignment="1" applyBorder="1" applyFont="1">
      <alignment shrinkToFit="0" vertical="center" wrapText="0"/>
    </xf>
    <xf borderId="3" fillId="0" fontId="4" numFmtId="166" xfId="0" applyAlignment="1" applyBorder="1" applyFont="1" applyNumberForma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3" fillId="0" fontId="42" numFmtId="0" xfId="0" applyAlignment="1" applyBorder="1" applyFont="1">
      <alignment readingOrder="0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shrinkToFit="0" vertical="center" wrapText="1"/>
    </xf>
    <xf borderId="1" fillId="0" fontId="32" numFmtId="0" xfId="0" applyAlignment="1" applyBorder="1" applyFont="1">
      <alignment horizontal="center" vertical="center"/>
    </xf>
    <xf borderId="1" fillId="0" fontId="32" numFmtId="164" xfId="0" applyAlignment="1" applyBorder="1" applyFont="1" applyNumberFormat="1">
      <alignment horizontal="center" shrinkToFit="0" vertical="center" wrapText="1"/>
    </xf>
    <xf borderId="1" fillId="0" fontId="32" numFmtId="0" xfId="0" applyAlignment="1" applyBorder="1" applyFont="1">
      <alignment horizontal="left" shrinkToFit="0" vertical="center" wrapText="1"/>
    </xf>
    <xf borderId="3" fillId="0" fontId="32" numFmtId="0" xfId="0" applyAlignment="1" applyBorder="1" applyFont="1">
      <alignment horizontal="center" vertical="center"/>
    </xf>
    <xf borderId="3" fillId="0" fontId="32" numFmtId="164" xfId="0" applyAlignment="1" applyBorder="1" applyFont="1" applyNumberFormat="1">
      <alignment horizontal="center" shrinkToFit="0" vertical="center" wrapText="1"/>
    </xf>
    <xf borderId="0" fillId="0" fontId="4" numFmtId="14" xfId="0" applyAlignment="1" applyFont="1" applyNumberFormat="1">
      <alignment horizontal="left" vertical="top"/>
    </xf>
    <xf borderId="0" fillId="0" fontId="4" numFmtId="14" xfId="0" applyAlignment="1" applyFont="1" applyNumberFormat="1">
      <alignment horizontal="left"/>
    </xf>
    <xf borderId="3" fillId="2" fontId="32" numFmtId="0" xfId="0" applyAlignment="1" applyBorder="1" applyFill="1" applyFont="1">
      <alignment horizontal="center" vertical="center"/>
    </xf>
    <xf borderId="3" fillId="2" fontId="32" numFmtId="164" xfId="0" applyAlignment="1" applyBorder="1" applyFill="1" applyFont="1" applyNumberFormat="1">
      <alignment horizontal="center" shrinkToFit="0" vertical="center" wrapText="1"/>
    </xf>
    <xf borderId="3" fillId="2" fontId="32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4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readingOrder="0"/>
    </xf>
    <xf borderId="1" fillId="0" fontId="32" numFmtId="0" xfId="0" applyAlignment="1" applyBorder="1" applyFont="1">
      <alignment horizontal="left" vertical="center"/>
    </xf>
    <xf borderId="0" fillId="0" fontId="4" numFmtId="49" xfId="0" applyAlignment="1" applyFont="1" applyNumberFormat="1">
      <alignment readingOrder="0"/>
    </xf>
    <xf borderId="1" fillId="0" fontId="38" numFmtId="0" xfId="0" applyAlignment="1" applyBorder="1" applyFont="1">
      <alignment shrinkToFit="0" vertical="center" wrapText="1"/>
    </xf>
    <xf borderId="3" fillId="0" fontId="38" numFmtId="0" xfId="0" applyAlignment="1" applyBorder="1" applyFont="1">
      <alignment shrinkToFit="0" vertical="center" wrapText="1"/>
    </xf>
    <xf borderId="4" fillId="0" fontId="32" numFmtId="0" xfId="0" applyAlignment="1" applyBorder="1" applyFont="1">
      <alignment vertical="center"/>
    </xf>
    <xf borderId="4" fillId="0" fontId="32" numFmtId="0" xfId="0" applyAlignment="1" applyBorder="1" applyFont="1">
      <alignment horizontal="center" vertical="center"/>
    </xf>
    <xf borderId="4" fillId="0" fontId="32" numFmtId="0" xfId="0" applyAlignment="1" applyBorder="1" applyFont="1">
      <alignment horizontal="left" shrinkToFit="0" vertical="center" wrapText="1"/>
    </xf>
    <xf borderId="3" fillId="0" fontId="32" numFmtId="0" xfId="0" applyAlignment="1" applyBorder="1" applyFont="1">
      <alignment shrinkToFit="0" wrapText="1"/>
    </xf>
    <xf borderId="3" fillId="4" fontId="7" numFmtId="49" xfId="0" applyAlignment="1" applyBorder="1" applyFill="1" applyFont="1" applyNumberFormat="1">
      <alignment horizontal="left" shrinkToFit="0" vertical="center" wrapText="1"/>
    </xf>
    <xf borderId="3" fillId="4" fontId="7" numFmtId="49" xfId="0" applyAlignment="1" applyBorder="1" applyFill="1" applyFont="1" applyNumberFormat="1">
      <alignment vertical="center"/>
    </xf>
    <xf borderId="1" fillId="0" fontId="5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28" fillId="0" fontId="7" numFmtId="0" xfId="0" applyAlignment="1" applyBorder="1" applyFont="1">
      <alignment horizontal="center" vertical="center"/>
    </xf>
    <xf borderId="29" fillId="9" fontId="1" numFmtId="0" xfId="0" applyAlignment="1" applyBorder="1" applyFill="1" applyFont="1">
      <alignment horizontal="center"/>
    </xf>
    <xf borderId="30" fillId="0" fontId="9" numFmtId="0" xfId="0" applyBorder="1" applyFont="1"/>
    <xf borderId="31" fillId="0" fontId="9" numFmtId="0" xfId="0" applyBorder="1" applyFont="1"/>
    <xf borderId="29" fillId="0" fontId="1" numFmtId="0" xfId="0" applyAlignment="1" applyBorder="1" applyFont="1">
      <alignment horizontal="center"/>
    </xf>
    <xf borderId="29" fillId="8" fontId="1" numFmtId="0" xfId="0" applyAlignment="1" applyBorder="1" applyFill="1" applyFont="1">
      <alignment horizontal="center"/>
    </xf>
    <xf borderId="0" fillId="0" fontId="7" numFmtId="0" xfId="0" applyFont="1"/>
    <xf borderId="32" fillId="0" fontId="9" numFmtId="0" xfId="0" applyBorder="1" applyFont="1"/>
    <xf borderId="27" fillId="9" fontId="1" numFmtId="0" xfId="0" applyAlignment="1" applyBorder="1" applyFill="1" applyFont="1">
      <alignment horizontal="center"/>
    </xf>
    <xf borderId="27" fillId="0" fontId="1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33" fillId="8" fontId="1" numFmtId="0" xfId="0" applyAlignment="1" applyBorder="1" applyFill="1" applyFont="1">
      <alignment horizontal="center"/>
    </xf>
    <xf borderId="33" fillId="8" fontId="7" numFmtId="0" xfId="0" applyAlignment="1" applyBorder="1" applyFill="1" applyFont="1">
      <alignment horizontal="center"/>
    </xf>
    <xf borderId="34" fillId="0" fontId="7" numFmtId="0" xfId="0" applyAlignment="1" applyBorder="1" applyFont="1">
      <alignment horizontal="center" shrinkToFit="0" vertical="center" wrapText="1"/>
    </xf>
    <xf borderId="34" fillId="0" fontId="7" numFmtId="0" xfId="0" applyAlignment="1" applyBorder="1" applyFont="1">
      <alignment shrinkToFit="0" vertical="center" wrapText="1"/>
    </xf>
    <xf borderId="35" fillId="9" fontId="7" numFmtId="0" xfId="0" applyAlignment="1" applyBorder="1" applyFill="1" applyFont="1">
      <alignment horizontal="center"/>
    </xf>
    <xf borderId="26" fillId="9" fontId="7" numFmtId="0" xfId="0" applyAlignment="1" applyBorder="1" applyFill="1" applyFont="1">
      <alignment horizontal="center"/>
    </xf>
    <xf borderId="36" fillId="9" fontId="7" numFmtId="0" xfId="0" applyAlignment="1" applyBorder="1" applyFill="1" applyFont="1">
      <alignment horizontal="center"/>
    </xf>
    <xf borderId="37" fillId="0" fontId="7" numFmtId="0" xfId="0" applyAlignment="1" applyBorder="1" applyFont="1">
      <alignment horizontal="center"/>
    </xf>
    <xf borderId="38" fillId="0" fontId="7" numFmtId="0" xfId="0" applyAlignment="1" applyBorder="1" applyFont="1">
      <alignment horizontal="center"/>
    </xf>
    <xf borderId="39" fillId="0" fontId="7" numFmtId="0" xfId="0" applyAlignment="1" applyBorder="1" applyFont="1">
      <alignment horizontal="center"/>
    </xf>
    <xf borderId="37" fillId="9" fontId="7" numFmtId="0" xfId="0" applyAlignment="1" applyBorder="1" applyFill="1" applyFont="1">
      <alignment horizontal="center"/>
    </xf>
    <xf borderId="38" fillId="9" fontId="7" numFmtId="0" xfId="0" applyAlignment="1" applyBorder="1" applyFill="1" applyFont="1">
      <alignment horizontal="center"/>
    </xf>
    <xf borderId="39" fillId="9" fontId="7" numFmtId="0" xfId="0" applyAlignment="1" applyBorder="1" applyFill="1" applyFont="1">
      <alignment horizontal="center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0" fillId="0" fontId="39" numFmtId="0" xfId="0" applyAlignment="1" applyFont="1">
      <alignment horizontal="center"/>
    </xf>
    <xf borderId="40" fillId="0" fontId="7" numFmtId="0" xfId="0" applyAlignment="1" applyBorder="1" applyFont="1">
      <alignment horizontal="center"/>
    </xf>
    <xf borderId="27" fillId="8" fontId="7" numFmtId="0" xfId="0" applyAlignment="1" applyBorder="1" applyFill="1" applyFont="1">
      <alignment horizontal="center"/>
    </xf>
    <xf borderId="41" fillId="0" fontId="7" numFmtId="0" xfId="0" applyAlignment="1" applyBorder="1" applyFont="1">
      <alignment horizontal="center" shrinkToFit="0" vertical="center" wrapText="1"/>
    </xf>
    <xf borderId="41" fillId="0" fontId="7" numFmtId="0" xfId="0" applyAlignment="1" applyBorder="1" applyFont="1">
      <alignment shrinkToFit="0" vertical="center" wrapText="1"/>
    </xf>
    <xf borderId="42" fillId="9" fontId="7" numFmtId="0" xfId="0" applyAlignment="1" applyBorder="1" applyFill="1" applyFont="1">
      <alignment horizontal="center"/>
    </xf>
    <xf borderId="3" fillId="9" fontId="7" numFmtId="0" xfId="0" applyAlignment="1" applyBorder="1" applyFill="1" applyFont="1">
      <alignment horizontal="center"/>
    </xf>
    <xf borderId="43" fillId="9" fontId="7" numFmtId="0" xfId="0" applyAlignment="1" applyBorder="1" applyFill="1" applyFont="1">
      <alignment horizontal="center"/>
    </xf>
    <xf borderId="42" fillId="0" fontId="7" numFmtId="0" xfId="0" applyAlignment="1" applyBorder="1" applyFont="1">
      <alignment horizontal="center"/>
    </xf>
    <xf borderId="43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44" fillId="0" fontId="7" numFmtId="0" xfId="0" applyAlignment="1" applyBorder="1" applyFont="1">
      <alignment horizontal="center" shrinkToFit="0" vertical="center" wrapText="1"/>
    </xf>
    <xf borderId="41" fillId="2" fontId="7" numFmtId="0" xfId="0" applyAlignment="1" applyBorder="1" applyFill="1" applyFont="1">
      <alignment shrinkToFit="0" vertical="center" wrapText="1"/>
    </xf>
    <xf borderId="0" fillId="0" fontId="32" numFmtId="0" xfId="0" applyAlignment="1" applyFont="1">
      <alignment horizontal="center"/>
    </xf>
    <xf borderId="0" fillId="0" fontId="32" numFmtId="0" xfId="0" applyFont="1"/>
    <xf borderId="4" fillId="0" fontId="43" numFmtId="0" xfId="0" applyAlignment="1" applyBorder="1" applyFont="1">
      <alignment horizontal="center" vertical="center"/>
    </xf>
    <xf borderId="13" fillId="0" fontId="43" numFmtId="0" xfId="0" applyAlignment="1" applyBorder="1" applyFont="1">
      <alignment horizontal="center" vertical="center"/>
    </xf>
    <xf borderId="12" fillId="0" fontId="43" numFmtId="0" xfId="0" applyAlignment="1" applyBorder="1" applyFont="1">
      <alignment horizontal="center" shrinkToFit="0" vertical="center" wrapText="1"/>
    </xf>
    <xf borderId="6" fillId="0" fontId="43" numFmtId="0" xfId="0" applyAlignment="1" applyBorder="1" applyFont="1">
      <alignment horizontal="center" shrinkToFit="0" vertical="center" wrapText="1"/>
    </xf>
    <xf borderId="12" fillId="0" fontId="9" numFmtId="0" xfId="0" applyBorder="1" applyFont="1"/>
    <xf borderId="6" fillId="10" fontId="43" numFmtId="0" xfId="0" applyAlignment="1" applyBorder="1" applyFill="1" applyFont="1">
      <alignment horizontal="center" shrinkToFit="0" vertical="center" wrapText="1"/>
    </xf>
    <xf borderId="45" fillId="0" fontId="9" numFmtId="0" xfId="0" applyBorder="1" applyFont="1"/>
    <xf borderId="4" fillId="0" fontId="43" numFmtId="0" xfId="0" applyAlignment="1" applyBorder="1" applyFont="1">
      <alignment horizontal="center" shrinkToFit="0" vertical="center" wrapText="1"/>
    </xf>
    <xf borderId="23" fillId="0" fontId="9" numFmtId="0" xfId="0" applyBorder="1" applyFont="1"/>
    <xf borderId="46" fillId="0" fontId="9" numFmtId="0" xfId="0" applyBorder="1" applyFont="1"/>
    <xf borderId="13" fillId="0" fontId="43" numFmtId="0" xfId="0" applyAlignment="1" applyBorder="1" applyFont="1">
      <alignment horizontal="center" shrinkToFit="0" wrapText="1"/>
    </xf>
    <xf borderId="4" fillId="0" fontId="43" numFmtId="0" xfId="0" applyAlignment="1" applyBorder="1" applyFont="1">
      <alignment horizontal="center" shrinkToFit="0" wrapText="1"/>
    </xf>
    <xf borderId="24" fillId="10" fontId="43" numFmtId="0" xfId="0" applyAlignment="1" applyBorder="1" applyFill="1" applyFont="1">
      <alignment horizontal="center" shrinkToFit="0" wrapText="1"/>
    </xf>
    <xf borderId="47" fillId="10" fontId="43" numFmtId="0" xfId="0" applyAlignment="1" applyBorder="1" applyFill="1" applyFont="1">
      <alignment horizontal="center" shrinkToFit="0" wrapText="1"/>
    </xf>
    <xf borderId="3" fillId="10" fontId="43" numFmtId="0" xfId="0" applyAlignment="1" applyBorder="1" applyFill="1" applyFont="1">
      <alignment horizontal="center" shrinkToFit="0" wrapText="1"/>
    </xf>
    <xf borderId="1" fillId="0" fontId="40" numFmtId="0" xfId="0" applyAlignment="1" applyBorder="1" applyFont="1">
      <alignment horizontal="center"/>
    </xf>
    <xf borderId="3" fillId="0" fontId="40" numFmtId="0" xfId="0" applyAlignment="1" applyBorder="1" applyFont="1">
      <alignment horizontal="center"/>
    </xf>
    <xf borderId="3" fillId="10" fontId="40" numFmtId="0" xfId="0" applyAlignment="1" applyBorder="1" applyFill="1" applyFont="1">
      <alignment horizontal="center"/>
    </xf>
    <xf borderId="26" fillId="10" fontId="40" numFmtId="0" xfId="0" applyAlignment="1" applyBorder="1" applyFill="1" applyFont="1">
      <alignment horizontal="center"/>
    </xf>
    <xf borderId="3" fillId="0" fontId="43" numFmtId="0" xfId="0" applyAlignment="1" applyBorder="1" applyFont="1">
      <alignment horizontal="center"/>
    </xf>
    <xf borderId="3" fillId="0" fontId="43" numFmtId="171" xfId="0" applyAlignment="1" applyBorder="1" applyFont="1" applyNumberFormat="1">
      <alignment horizontal="center"/>
    </xf>
    <xf borderId="3" fillId="0" fontId="43" numFmtId="1" xfId="0" applyAlignment="1" applyBorder="1" applyFont="1" applyNumberFormat="1">
      <alignment horizontal="center"/>
    </xf>
    <xf borderId="3" fillId="10" fontId="43" numFmtId="0" xfId="0" applyAlignment="1" applyBorder="1" applyFill="1" applyFont="1">
      <alignment horizontal="center"/>
    </xf>
    <xf borderId="3" fillId="10" fontId="43" numFmtId="171" xfId="0" applyAlignment="1" applyBorder="1" applyFill="1" applyFont="1" applyNumberFormat="1">
      <alignment horizontal="center"/>
    </xf>
    <xf borderId="3" fillId="10" fontId="43" numFmtId="1" xfId="0" applyAlignment="1" applyBorder="1" applyFill="1" applyFont="1" applyNumberFormat="1">
      <alignment horizontal="center"/>
    </xf>
    <xf borderId="3" fillId="0" fontId="43" numFmtId="0" xfId="0" applyBorder="1" applyFont="1"/>
    <xf borderId="41" fillId="0" fontId="7" numFmtId="0" xfId="0" applyAlignment="1" applyBorder="1" applyFont="1">
      <alignment horizontal="left" vertical="center"/>
    </xf>
    <xf borderId="3" fillId="2" fontId="43" numFmtId="0" xfId="0" applyAlignment="1" applyBorder="1" applyFill="1" applyFont="1">
      <alignment horizontal="center"/>
    </xf>
    <xf borderId="3" fillId="0" fontId="36" numFmtId="0" xfId="0" applyBorder="1" applyFont="1"/>
    <xf borderId="42" fillId="9" fontId="14" numFmtId="0" xfId="0" applyAlignment="1" applyBorder="1" applyFill="1" applyFont="1">
      <alignment horizontal="center"/>
    </xf>
    <xf borderId="3" fillId="9" fontId="14" numFmtId="0" xfId="0" applyAlignment="1" applyBorder="1" applyFill="1" applyFont="1">
      <alignment horizontal="center"/>
    </xf>
    <xf borderId="43" fillId="9" fontId="14" numFmtId="0" xfId="0" applyAlignment="1" applyBorder="1" applyFill="1" applyFont="1">
      <alignment horizontal="center"/>
    </xf>
    <xf borderId="42" fillId="0" fontId="14" numFmtId="0" xfId="0" applyAlignment="1" applyBorder="1" applyFont="1">
      <alignment horizontal="center"/>
    </xf>
    <xf borderId="3" fillId="0" fontId="14" numFmtId="0" xfId="0" applyAlignment="1" applyBorder="1" applyFont="1">
      <alignment horizontal="center"/>
    </xf>
    <xf borderId="43" fillId="0" fontId="14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41" fillId="0" fontId="7" numFmtId="0" xfId="0" applyAlignment="1" applyBorder="1" applyFont="1">
      <alignment vertical="center"/>
    </xf>
    <xf borderId="32" fillId="0" fontId="7" numFmtId="0" xfId="0" applyAlignment="1" applyBorder="1" applyFont="1">
      <alignment horizontal="center" shrinkToFit="0" vertical="center" wrapText="1"/>
    </xf>
    <xf borderId="48" fillId="0" fontId="7" numFmtId="0" xfId="0" applyAlignment="1" applyBorder="1" applyFont="1">
      <alignment vertical="center"/>
    </xf>
    <xf borderId="49" fillId="9" fontId="14" numFmtId="0" xfId="0" applyAlignment="1" applyBorder="1" applyFill="1" applyFont="1">
      <alignment horizontal="center"/>
    </xf>
    <xf borderId="50" fillId="9" fontId="14" numFmtId="0" xfId="0" applyAlignment="1" applyBorder="1" applyFill="1" applyFont="1">
      <alignment horizontal="center"/>
    </xf>
    <xf borderId="51" fillId="9" fontId="14" numFmtId="0" xfId="0" applyAlignment="1" applyBorder="1" applyFill="1" applyFont="1">
      <alignment horizontal="center"/>
    </xf>
    <xf borderId="49" fillId="0" fontId="14" numFmtId="0" xfId="0" applyAlignment="1" applyBorder="1" applyFont="1">
      <alignment horizontal="center"/>
    </xf>
    <xf borderId="50" fillId="0" fontId="14" numFmtId="0" xfId="0" applyAlignment="1" applyBorder="1" applyFont="1">
      <alignment horizontal="center"/>
    </xf>
    <xf borderId="51" fillId="0" fontId="14" numFmtId="0" xfId="0" applyAlignment="1" applyBorder="1" applyFont="1">
      <alignment horizontal="center"/>
    </xf>
    <xf borderId="52" fillId="0" fontId="14" numFmtId="0" xfId="0" applyAlignment="1" applyBorder="1" applyFont="1">
      <alignment horizontal="center"/>
    </xf>
    <xf borderId="0" fillId="0" fontId="43" numFmtId="0" xfId="0" applyFont="1"/>
    <xf borderId="0" fillId="0" fontId="44" numFmtId="0" xfId="0" applyFont="1"/>
    <xf borderId="0" fillId="0" fontId="43" numFmtId="0" xfId="0" applyAlignment="1" applyFont="1">
      <alignment horizontal="center"/>
    </xf>
    <xf borderId="0" fillId="0" fontId="4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5" numFmtId="0" xfId="0" applyAlignment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0" fillId="0" fontId="36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Q54" displayName="Pegawai_2026_Status" name="Pegawai_2026_Status" id="1">
  <tableColumns count="17">
    <tableColumn name="NO" id="1"/>
    <tableColumn name="NAMA" id="2"/>
    <tableColumn name="NIP / NIK" id="3"/>
    <tableColumn name="GOL" id="4"/>
    <tableColumn name="JENIS ASN" id="5"/>
    <tableColumn name="TMT GOL" id="6"/>
    <tableColumn name="NAMA JABATAN" id="7"/>
    <tableColumn name="TMT JABATAN" id="8"/>
    <tableColumn name="E" id="9"/>
    <tableColumn name="THN" id="10"/>
    <tableColumn name="BLN" id="11"/>
    <tableColumn name="MK JABATAN" id="12"/>
    <tableColumn name="PENDIDIKAN" id="13"/>
    <tableColumn name="KETERANGAN" id="14"/>
    <tableColumn name="TEMPAT TANGGAL LAHIR" id="15"/>
    <tableColumn name="AGAMA" id="16"/>
    <tableColumn name="KET" id="17"/>
  </tableColumns>
  <tableStyleInfo name="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HPLQTU2XsBTuzw244sIkzon1REt7F6-z" TargetMode="External"/><Relationship Id="rId42" Type="http://schemas.openxmlformats.org/officeDocument/2006/relationships/hyperlink" Target="https://drive.google.com/drive/folders/1yd0j4JuSEqn0lIBjY5yljMaE1UfijKuq" TargetMode="External"/><Relationship Id="rId41" Type="http://schemas.openxmlformats.org/officeDocument/2006/relationships/hyperlink" Target="https://drive.google.com/drive/folders/1e4RC4VdaDfglYSOoFU-xXJfDNPNQCprL" TargetMode="External"/><Relationship Id="rId44" Type="http://schemas.openxmlformats.org/officeDocument/2006/relationships/hyperlink" Target="https://drive.google.com/drive/folders/1g_Sn1hRK0SNln3_k9jQM_qgMi6dnFouU" TargetMode="External"/><Relationship Id="rId43" Type="http://schemas.openxmlformats.org/officeDocument/2006/relationships/hyperlink" Target="https://drive.google.com/drive/folders/1Ln210QKOdyZLeGvmzA8kZeAcD9DXGBBi" TargetMode="External"/><Relationship Id="rId46" Type="http://schemas.openxmlformats.org/officeDocument/2006/relationships/hyperlink" Target="https://drive.google.com/drive/folders/1xvJVI2KT1Sa0Ci8eAbmT8aJrDB6qtnVP" TargetMode="External"/><Relationship Id="rId45" Type="http://schemas.openxmlformats.org/officeDocument/2006/relationships/hyperlink" Target="http://a.md/" TargetMode="External"/><Relationship Id="rId1" Type="http://schemas.openxmlformats.org/officeDocument/2006/relationships/hyperlink" Target="https://drive.google.com/drive/folders/1O1_72bPt-qp7qwIVXnaCgAnOxpXP-ydG" TargetMode="External"/><Relationship Id="rId2" Type="http://schemas.openxmlformats.org/officeDocument/2006/relationships/hyperlink" Target="https://drive.google.com/drive/folders/1REpsHqYo9JQ-5wb-rBN56FHMtXH-CuO9" TargetMode="External"/><Relationship Id="rId3" Type="http://schemas.openxmlformats.org/officeDocument/2006/relationships/hyperlink" Target="https://drive.google.com/drive/folders/1ecWSUwwbw-1gtPu5SOP03KxBUK9FeRFS" TargetMode="External"/><Relationship Id="rId4" Type="http://schemas.openxmlformats.org/officeDocument/2006/relationships/hyperlink" Target="https://drive.google.com/drive/folders/1hdgjku3ow8BTlfVuH1bK5nqovoC9XR5_" TargetMode="External"/><Relationship Id="rId9" Type="http://schemas.openxmlformats.org/officeDocument/2006/relationships/hyperlink" Target="https://drive.google.com/drive/folders/1hbfKperBmys7i8M-jL7zyyiZSBfCCD2i" TargetMode="External"/><Relationship Id="rId48" Type="http://schemas.openxmlformats.org/officeDocument/2006/relationships/hyperlink" Target="https://drive.google.com/drive/folders/1ke73wdTffdpQ-RFXOIF8J_TSBqvRPZbs" TargetMode="External"/><Relationship Id="rId47" Type="http://schemas.openxmlformats.org/officeDocument/2006/relationships/hyperlink" Target="https://drive.google.com/drive/folders/1KfTZ7N8t7Ofb1YlIujs7TrmQWqD5OXJn" TargetMode="External"/><Relationship Id="rId49" Type="http://schemas.openxmlformats.org/officeDocument/2006/relationships/hyperlink" Target="https://drive.google.com/drive/folders/1JgFgDmlfR5279ZCI_JsfINXkFk_AvaIi" TargetMode="External"/><Relationship Id="rId5" Type="http://schemas.openxmlformats.org/officeDocument/2006/relationships/hyperlink" Target="https://drive.google.com/drive/folders/1G9Lhho3KzT-8q6WgPkgKJ0aCnIdYfazC" TargetMode="External"/><Relationship Id="rId6" Type="http://schemas.openxmlformats.org/officeDocument/2006/relationships/hyperlink" Target="https://drive.google.com/drive/folders/1YZ62L9OsFD5hef4O2zWHUmgrAI9hhymy" TargetMode="External"/><Relationship Id="rId7" Type="http://schemas.openxmlformats.org/officeDocument/2006/relationships/hyperlink" Target="https://drive.google.com/drive/folders/1U0sHkf854Q_1VxQUAc9dk4c3YkilH5kK" TargetMode="External"/><Relationship Id="rId8" Type="http://schemas.openxmlformats.org/officeDocument/2006/relationships/hyperlink" Target="https://drive.google.com/drive/folders/1_I8jv6HRkpbuvDVc3yNDbYMDvhF1h22a" TargetMode="External"/><Relationship Id="rId31" Type="http://schemas.openxmlformats.org/officeDocument/2006/relationships/hyperlink" Target="https://drive.google.com/drive/folders/1cifdmoQwvzPl5oo8h9vQMzI8j-dGOBLH" TargetMode="External"/><Relationship Id="rId30" Type="http://schemas.openxmlformats.org/officeDocument/2006/relationships/hyperlink" Target="https://drive.google.com/drive/folders/1IPZXacYDDZPBXUqaPy1GHgKOZbyVB3Ik" TargetMode="External"/><Relationship Id="rId33" Type="http://schemas.openxmlformats.org/officeDocument/2006/relationships/hyperlink" Target="https://drive.google.com/drive/folders/1APPx7s-_0F5OcnZvbTzkIMQqNrsgrpDm" TargetMode="External"/><Relationship Id="rId32" Type="http://schemas.openxmlformats.org/officeDocument/2006/relationships/hyperlink" Target="https://drive.google.com/drive/folders/1i7e-9E_SwEdGS2VJVlS76dLPOgucpRWf" TargetMode="External"/><Relationship Id="rId35" Type="http://schemas.openxmlformats.org/officeDocument/2006/relationships/hyperlink" Target="https://drive.google.com/drive/folders/1IZUX8QB-sur6niTmQ0V1L7bvA6plKYtr" TargetMode="External"/><Relationship Id="rId34" Type="http://schemas.openxmlformats.org/officeDocument/2006/relationships/hyperlink" Target="https://drive.google.com/drive/folders/1xq5tMPabuv9waDHg_GvliZo8I6id8m9p" TargetMode="External"/><Relationship Id="rId37" Type="http://schemas.openxmlformats.org/officeDocument/2006/relationships/hyperlink" Target="https://drive.google.com/drive/folders/15uLiVkyJB0hsRvreqnDIFzkQv06cy9We" TargetMode="External"/><Relationship Id="rId36" Type="http://schemas.openxmlformats.org/officeDocument/2006/relationships/hyperlink" Target="https://drive.google.com/drive/folders/1Wwgo33kQKmHT31qPZ9MuGQda9oGanPu2" TargetMode="External"/><Relationship Id="rId39" Type="http://schemas.openxmlformats.org/officeDocument/2006/relationships/hyperlink" Target="https://drive.google.com/drive/folders/1Uk9GOlRAC_4XJTMDoHKiMXl9jrcmCUkc" TargetMode="External"/><Relationship Id="rId38" Type="http://schemas.openxmlformats.org/officeDocument/2006/relationships/hyperlink" Target="https://drive.google.com/drive/folders/1jWht-_gK1PP7a4CPVG1QOApsyOFocQGn" TargetMode="External"/><Relationship Id="rId20" Type="http://schemas.openxmlformats.org/officeDocument/2006/relationships/hyperlink" Target="https://drive.google.com/drive/folders/1GxvrPrRAr9pesEf1kkmMCbkze1nlIjbq" TargetMode="External"/><Relationship Id="rId22" Type="http://schemas.openxmlformats.org/officeDocument/2006/relationships/hyperlink" Target="https://drive.google.com/drive/folders/1QBvHhWToOzygDeUxb7gBZH-uUfCTMLIx" TargetMode="External"/><Relationship Id="rId21" Type="http://schemas.openxmlformats.org/officeDocument/2006/relationships/hyperlink" Target="https://drive.google.com/drive/folders/1-dU2p7eW9KAEsgwQz8zozG81sTBlj0i2" TargetMode="External"/><Relationship Id="rId24" Type="http://schemas.openxmlformats.org/officeDocument/2006/relationships/hyperlink" Target="https://drive.google.com/drive/folders/1bLH2wVC3ltlXcFqXS0Q94mj_po6PRMg1" TargetMode="External"/><Relationship Id="rId23" Type="http://schemas.openxmlformats.org/officeDocument/2006/relationships/hyperlink" Target="https://drive.google.com/drive/folders/1UH_3IblYsUGB5QXROxU9WvK9zUYm9Fyd" TargetMode="External"/><Relationship Id="rId26" Type="http://schemas.openxmlformats.org/officeDocument/2006/relationships/hyperlink" Target="https://drive.google.com/drive/folders/1-njZPGkZbZLpoWk7ysfu2sjwVSDDnxRN" TargetMode="External"/><Relationship Id="rId25" Type="http://schemas.openxmlformats.org/officeDocument/2006/relationships/hyperlink" Target="https://drive.google.com/drive/folders/19LnV-li-JJwR4T0guQNoZYMaW7gbWV8S" TargetMode="External"/><Relationship Id="rId28" Type="http://schemas.openxmlformats.org/officeDocument/2006/relationships/hyperlink" Target="https://drive.google.com/drive/folders/1Aaq90hd9aBSOZs4_rBdqWjG2KLcSvK_a" TargetMode="External"/><Relationship Id="rId27" Type="http://schemas.openxmlformats.org/officeDocument/2006/relationships/hyperlink" Target="https://drive.google.com/drive/folders/182s9Wrkamr7_T1rV_geJBZSad1KcbIP8" TargetMode="External"/><Relationship Id="rId29" Type="http://schemas.openxmlformats.org/officeDocument/2006/relationships/hyperlink" Target="https://drive.google.com/drive/folders/1ARbkTGkv9xE3jNVqEqApFxxY3eBanrwP" TargetMode="External"/><Relationship Id="rId50" Type="http://schemas.openxmlformats.org/officeDocument/2006/relationships/drawing" Target="../drawings/drawing1.xml"/><Relationship Id="rId52" Type="http://schemas.openxmlformats.org/officeDocument/2006/relationships/table" Target="../tables/table1.xml"/><Relationship Id="rId11" Type="http://schemas.openxmlformats.org/officeDocument/2006/relationships/hyperlink" Target="https://drive.google.com/drive/folders/1_ny6wFKcqFxEIboGOca2sqRqDT-MrWDz" TargetMode="External"/><Relationship Id="rId10" Type="http://schemas.openxmlformats.org/officeDocument/2006/relationships/hyperlink" Target="https://drive.google.com/drive/folders/1U8oZGfgPwiI-3FQBU65ndzm0m9rpWxGc" TargetMode="External"/><Relationship Id="rId13" Type="http://schemas.openxmlformats.org/officeDocument/2006/relationships/hyperlink" Target="https://drive.google.com/drive/folders/1y1C6a91AS1ZZqOWfuxtWp_6sNEUinAPJ" TargetMode="External"/><Relationship Id="rId12" Type="http://schemas.openxmlformats.org/officeDocument/2006/relationships/hyperlink" Target="https://drive.google.com/drive/folders/1zq-kOKakXEjERw_3evZOnezEISsejxLO" TargetMode="External"/><Relationship Id="rId15" Type="http://schemas.openxmlformats.org/officeDocument/2006/relationships/hyperlink" Target="https://drive.google.com/drive/folders/1ACnkOGnmtFxU_fPlpZ0FDLk77pcEnmh7" TargetMode="External"/><Relationship Id="rId14" Type="http://schemas.openxmlformats.org/officeDocument/2006/relationships/hyperlink" Target="https://drive.google.com/drive/folders/10KJRmS2USvCN1MfGGvtem7leH_brkvQw" TargetMode="External"/><Relationship Id="rId17" Type="http://schemas.openxmlformats.org/officeDocument/2006/relationships/hyperlink" Target="https://drive.google.com/drive/folders/1spURk5ZNlZPFLVv6nd1W_m15JqNRpb1u" TargetMode="External"/><Relationship Id="rId16" Type="http://schemas.openxmlformats.org/officeDocument/2006/relationships/hyperlink" Target="https://drive.google.com/drive/folders/1UhC6KtXXhQwTnl0gs0Ikr5I3LRTC2kns" TargetMode="External"/><Relationship Id="rId19" Type="http://schemas.openxmlformats.org/officeDocument/2006/relationships/hyperlink" Target="https://drive.google.com/drive/folders/1cuJnJxvS5LOxnYvgpdB5p5m4kHU1jyiV" TargetMode="External"/><Relationship Id="rId18" Type="http://schemas.openxmlformats.org/officeDocument/2006/relationships/hyperlink" Target="https://drive.google.com/drive/folders/17xbHRdWSaAh1EUUzaGzEHxU0eDlaOat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.md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nafisa.fariddr@gmail.com" TargetMode="External"/><Relationship Id="rId2" Type="http://schemas.openxmlformats.org/officeDocument/2006/relationships/hyperlink" Target="mailto:putriemyta04@gmail.com" TargetMode="External"/><Relationship Id="rId3" Type="http://schemas.openxmlformats.org/officeDocument/2006/relationships/hyperlink" Target="mailto:setyab71@gmail.com" TargetMode="External"/><Relationship Id="rId4" Type="http://schemas.openxmlformats.org/officeDocument/2006/relationships/hyperlink" Target="mailto:jemaimai67@gmail.com" TargetMode="External"/><Relationship Id="rId9" Type="http://schemas.openxmlformats.org/officeDocument/2006/relationships/hyperlink" Target="mailto:nabilazzamorin@gmail.com" TargetMode="External"/><Relationship Id="rId5" Type="http://schemas.openxmlformats.org/officeDocument/2006/relationships/hyperlink" Target="mailto:listyaningsihluluk@gmail.com" TargetMode="External"/><Relationship Id="rId6" Type="http://schemas.openxmlformats.org/officeDocument/2006/relationships/hyperlink" Target="mailto:daril2day@gmail.com" TargetMode="External"/><Relationship Id="rId7" Type="http://schemas.openxmlformats.org/officeDocument/2006/relationships/hyperlink" Target="mailto:yuanendah4@gmail.com" TargetMode="External"/><Relationship Id="rId8" Type="http://schemas.openxmlformats.org/officeDocument/2006/relationships/hyperlink" Target="mailto:bfitriah94@gmail.com" TargetMode="External"/><Relationship Id="rId20" Type="http://schemas.openxmlformats.org/officeDocument/2006/relationships/hyperlink" Target="mailto:daniswara.shety@gmail.com" TargetMode="External"/><Relationship Id="rId22" Type="http://schemas.openxmlformats.org/officeDocument/2006/relationships/hyperlink" Target="mailto:noviaanjar25@gmail.com" TargetMode="External"/><Relationship Id="rId21" Type="http://schemas.openxmlformats.org/officeDocument/2006/relationships/hyperlink" Target="mailto:nuryanav@gmail.com" TargetMode="External"/><Relationship Id="rId24" Type="http://schemas.openxmlformats.org/officeDocument/2006/relationships/hyperlink" Target="mailto:dinungwahyu7@gmail.com" TargetMode="External"/><Relationship Id="rId23" Type="http://schemas.openxmlformats.org/officeDocument/2006/relationships/hyperlink" Target="mailto:loencono79@gmail.com" TargetMode="External"/><Relationship Id="rId26" Type="http://schemas.openxmlformats.org/officeDocument/2006/relationships/drawing" Target="../drawings/drawing7.xml"/><Relationship Id="rId25" Type="http://schemas.openxmlformats.org/officeDocument/2006/relationships/hyperlink" Target="mailto:meiidayati34@gmail.com" TargetMode="External"/><Relationship Id="rId11" Type="http://schemas.openxmlformats.org/officeDocument/2006/relationships/hyperlink" Target="mailto:rindaari39@gmail.com" TargetMode="External"/><Relationship Id="rId10" Type="http://schemas.openxmlformats.org/officeDocument/2006/relationships/hyperlink" Target="mailto:09091966@gmail.com" TargetMode="External"/><Relationship Id="rId13" Type="http://schemas.openxmlformats.org/officeDocument/2006/relationships/hyperlink" Target="mailto:supatemivio@gmail.com" TargetMode="External"/><Relationship Id="rId12" Type="http://schemas.openxmlformats.org/officeDocument/2006/relationships/hyperlink" Target="mailto:Richie.rachmat@gmail.com" TargetMode="External"/><Relationship Id="rId15" Type="http://schemas.openxmlformats.org/officeDocument/2006/relationships/hyperlink" Target="mailto:enny.nurhayati1974@gmail.com" TargetMode="External"/><Relationship Id="rId14" Type="http://schemas.openxmlformats.org/officeDocument/2006/relationships/hyperlink" Target="mailto:aniksripurwanti41@gmail.com" TargetMode="External"/><Relationship Id="rId17" Type="http://schemas.openxmlformats.org/officeDocument/2006/relationships/hyperlink" Target="mailto:estuberlian@gmail.com" TargetMode="External"/><Relationship Id="rId16" Type="http://schemas.openxmlformats.org/officeDocument/2006/relationships/hyperlink" Target="mailto:sulisniabhi@gmail.com" TargetMode="External"/><Relationship Id="rId19" Type="http://schemas.openxmlformats.org/officeDocument/2006/relationships/hyperlink" Target="mailto:istikarohayu@gmail.com" TargetMode="External"/><Relationship Id="rId18" Type="http://schemas.openxmlformats.org/officeDocument/2006/relationships/hyperlink" Target="mailto:prihatiningtyas35@gmail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6.71"/>
    <col customWidth="1" min="3" max="3" width="19.14"/>
    <col customWidth="1" min="4" max="4" width="24.14"/>
    <col customWidth="1" min="5" max="5" width="18.29"/>
    <col customWidth="1" min="6" max="6" width="16.86"/>
    <col customWidth="1" min="7" max="7" width="21.43"/>
    <col customWidth="1" min="8" max="8" width="19.0"/>
    <col customWidth="1" min="9" max="9" width="10.71"/>
    <col customWidth="1" min="10" max="10" width="12.0"/>
    <col customWidth="1" min="11" max="11" width="11.14"/>
    <col customWidth="1" min="12" max="13" width="19.43"/>
    <col customWidth="1" min="14" max="14" width="16.71"/>
    <col customWidth="1" min="15" max="15" width="25.29"/>
    <col customWidth="1" min="16" max="16" width="12.43"/>
    <col customWidth="1" min="17" max="17" width="34.86"/>
    <col customWidth="1" min="18" max="18" width="9.71"/>
    <col customWidth="1" min="19" max="19" width="10.71"/>
    <col customWidth="1" min="20" max="20" width="8.71"/>
    <col customWidth="1" min="21" max="21" width="12.57"/>
    <col customWidth="1" min="22" max="26" width="8.71"/>
  </cols>
  <sheetData>
    <row r="1" ht="15.0" customHeight="1">
      <c r="A1" s="2" t="s">
        <v>0</v>
      </c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8" t="s">
        <v>7</v>
      </c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3" t="s">
        <v>124</v>
      </c>
    </row>
    <row r="4" ht="18.75" customHeight="1">
      <c r="A4" s="5"/>
      <c r="B4" s="5"/>
      <c r="C4" s="5"/>
      <c r="D4" s="5"/>
      <c r="E4" s="5"/>
      <c r="F4" s="5"/>
      <c r="G4" s="68"/>
      <c r="H4" s="5"/>
      <c r="I4" s="5"/>
      <c r="J4" s="5"/>
      <c r="K4" s="5"/>
      <c r="L4" s="5"/>
      <c r="M4" s="5"/>
      <c r="N4" s="5"/>
      <c r="O4" s="5"/>
      <c r="P4" s="5"/>
      <c r="Q4" s="71"/>
    </row>
    <row r="5" ht="18.75" customHeight="1">
      <c r="A5" s="11"/>
      <c r="B5" s="11"/>
      <c r="C5" s="11"/>
      <c r="D5" s="11"/>
      <c r="E5" s="11"/>
      <c r="F5" s="11"/>
      <c r="G5" s="73"/>
      <c r="H5" s="11"/>
      <c r="I5" s="11"/>
      <c r="J5" s="11"/>
      <c r="K5" s="11"/>
      <c r="L5" s="11"/>
      <c r="M5" s="11"/>
      <c r="N5" s="11"/>
      <c r="O5" s="11"/>
      <c r="P5" s="11"/>
      <c r="Q5" s="74"/>
    </row>
    <row r="6" ht="22.5" customHeight="1">
      <c r="A6" s="77" t="s">
        <v>1</v>
      </c>
      <c r="B6" s="77" t="s">
        <v>3</v>
      </c>
      <c r="C6" s="79" t="s">
        <v>4</v>
      </c>
      <c r="D6" s="77" t="s">
        <v>5</v>
      </c>
      <c r="E6" s="81" t="s">
        <v>6</v>
      </c>
      <c r="F6" s="81" t="s">
        <v>191</v>
      </c>
      <c r="G6" s="81" t="s">
        <v>8</v>
      </c>
      <c r="H6" s="81" t="s">
        <v>196</v>
      </c>
      <c r="I6" s="81" t="s">
        <v>198</v>
      </c>
      <c r="J6" s="77" t="s">
        <v>55</v>
      </c>
      <c r="K6" s="77" t="s">
        <v>56</v>
      </c>
      <c r="L6" s="88" t="s">
        <v>207</v>
      </c>
      <c r="M6" s="81" t="s">
        <v>59</v>
      </c>
      <c r="N6" s="77" t="s">
        <v>43</v>
      </c>
      <c r="O6" s="81" t="s">
        <v>215</v>
      </c>
      <c r="P6" s="77" t="s">
        <v>47</v>
      </c>
      <c r="Q6" s="77" t="s">
        <v>48</v>
      </c>
    </row>
    <row r="7" ht="28.5" customHeight="1">
      <c r="A7" s="91">
        <v>1.0</v>
      </c>
      <c r="B7" s="92" t="s">
        <v>10</v>
      </c>
      <c r="C7" s="93" t="s">
        <v>11</v>
      </c>
      <c r="D7" s="94" t="s">
        <v>12</v>
      </c>
      <c r="E7" s="14" t="s">
        <v>13</v>
      </c>
      <c r="F7" s="96">
        <v>44835.0</v>
      </c>
      <c r="G7" s="99" t="s">
        <v>14</v>
      </c>
      <c r="H7" s="103" t="s">
        <v>238</v>
      </c>
      <c r="I7" s="104" t="s">
        <v>79</v>
      </c>
      <c r="J7" s="105">
        <v>22.0</v>
      </c>
      <c r="K7" s="109">
        <v>0.0</v>
      </c>
      <c r="L7" s="111" t="s">
        <v>245</v>
      </c>
      <c r="M7" s="10" t="s">
        <v>83</v>
      </c>
      <c r="N7" s="99" t="s">
        <v>84</v>
      </c>
      <c r="O7" s="116" t="s">
        <v>85</v>
      </c>
      <c r="P7" s="10" t="s">
        <v>86</v>
      </c>
      <c r="Q7" s="121" t="s">
        <v>253</v>
      </c>
    </row>
    <row r="8" ht="28.5" customHeight="1">
      <c r="A8" s="125">
        <v>2.0</v>
      </c>
      <c r="B8" s="126" t="s">
        <v>16</v>
      </c>
      <c r="C8" s="128" t="s">
        <v>17</v>
      </c>
      <c r="D8" s="129" t="s">
        <v>18</v>
      </c>
      <c r="E8" s="14" t="s">
        <v>13</v>
      </c>
      <c r="F8" s="131">
        <v>45017.0</v>
      </c>
      <c r="G8" s="135" t="s">
        <v>20</v>
      </c>
      <c r="H8" s="139">
        <v>45017.0</v>
      </c>
      <c r="I8" s="142" t="s">
        <v>82</v>
      </c>
      <c r="J8" s="143">
        <v>13.0</v>
      </c>
      <c r="K8" s="144">
        <v>5.0</v>
      </c>
      <c r="L8" s="145" t="s">
        <v>301</v>
      </c>
      <c r="M8" s="17" t="s">
        <v>83</v>
      </c>
      <c r="N8" s="135" t="s">
        <v>97</v>
      </c>
      <c r="O8" s="147" t="s">
        <v>99</v>
      </c>
      <c r="P8" s="17" t="s">
        <v>86</v>
      </c>
      <c r="Q8" s="153" t="s">
        <v>306</v>
      </c>
    </row>
    <row r="9" ht="28.5" customHeight="1">
      <c r="A9" s="91">
        <v>3.0</v>
      </c>
      <c r="B9" s="126" t="s">
        <v>22</v>
      </c>
      <c r="C9" s="154" t="s">
        <v>24</v>
      </c>
      <c r="D9" s="129" t="s">
        <v>26</v>
      </c>
      <c r="E9" s="14" t="s">
        <v>13</v>
      </c>
      <c r="F9" s="131">
        <v>42278.0</v>
      </c>
      <c r="G9" s="155" t="s">
        <v>29</v>
      </c>
      <c r="H9" s="156">
        <v>42014.0</v>
      </c>
      <c r="I9" s="142" t="s">
        <v>82</v>
      </c>
      <c r="J9" s="143">
        <v>25.0</v>
      </c>
      <c r="K9" s="144">
        <v>4.0</v>
      </c>
      <c r="L9" s="145" t="s">
        <v>310</v>
      </c>
      <c r="M9" s="17" t="s">
        <v>109</v>
      </c>
      <c r="N9" s="135" t="s">
        <v>125</v>
      </c>
      <c r="O9" s="147" t="s">
        <v>126</v>
      </c>
      <c r="P9" s="17" t="s">
        <v>86</v>
      </c>
      <c r="Q9" s="153" t="s">
        <v>22</v>
      </c>
    </row>
    <row r="10" ht="28.5" customHeight="1">
      <c r="A10" s="91">
        <v>4.0</v>
      </c>
      <c r="B10" s="126" t="s">
        <v>32</v>
      </c>
      <c r="C10" s="154" t="s">
        <v>33</v>
      </c>
      <c r="D10" s="129" t="s">
        <v>26</v>
      </c>
      <c r="E10" s="14" t="s">
        <v>13</v>
      </c>
      <c r="F10" s="131">
        <v>42644.0</v>
      </c>
      <c r="G10" s="135" t="s">
        <v>34</v>
      </c>
      <c r="H10" s="156">
        <v>42379.0</v>
      </c>
      <c r="I10" s="142" t="s">
        <v>82</v>
      </c>
      <c r="J10" s="143">
        <v>25.0</v>
      </c>
      <c r="K10" s="144">
        <v>4.0</v>
      </c>
      <c r="L10" s="145" t="s">
        <v>311</v>
      </c>
      <c r="M10" s="17" t="s">
        <v>109</v>
      </c>
      <c r="N10" s="135" t="s">
        <v>130</v>
      </c>
      <c r="O10" s="147" t="s">
        <v>131</v>
      </c>
      <c r="P10" s="17" t="s">
        <v>86</v>
      </c>
      <c r="Q10" s="153" t="s">
        <v>312</v>
      </c>
    </row>
    <row r="11" ht="28.5" customHeight="1">
      <c r="A11" s="125">
        <v>5.0</v>
      </c>
      <c r="B11" s="126" t="s">
        <v>35</v>
      </c>
      <c r="C11" s="154" t="s">
        <v>36</v>
      </c>
      <c r="D11" s="129" t="s">
        <v>26</v>
      </c>
      <c r="E11" s="14" t="s">
        <v>13</v>
      </c>
      <c r="F11" s="131">
        <v>44470.0</v>
      </c>
      <c r="G11" s="135" t="s">
        <v>37</v>
      </c>
      <c r="H11" s="156">
        <v>42594.0</v>
      </c>
      <c r="I11" s="142" t="s">
        <v>82</v>
      </c>
      <c r="J11" s="143">
        <v>25.0</v>
      </c>
      <c r="K11" s="144">
        <v>4.0</v>
      </c>
      <c r="L11" s="145" t="s">
        <v>313</v>
      </c>
      <c r="M11" s="17" t="s">
        <v>134</v>
      </c>
      <c r="N11" s="135" t="s">
        <v>135</v>
      </c>
      <c r="O11" s="147" t="s">
        <v>136</v>
      </c>
      <c r="P11" s="17" t="s">
        <v>86</v>
      </c>
      <c r="Q11" s="153" t="s">
        <v>314</v>
      </c>
    </row>
    <row r="12" ht="28.5" customHeight="1">
      <c r="A12" s="91">
        <v>6.0</v>
      </c>
      <c r="B12" s="126" t="s">
        <v>39</v>
      </c>
      <c r="C12" s="154" t="s">
        <v>40</v>
      </c>
      <c r="D12" s="129" t="s">
        <v>42</v>
      </c>
      <c r="E12" s="14" t="s">
        <v>13</v>
      </c>
      <c r="F12" s="131">
        <v>45627.0</v>
      </c>
      <c r="G12" s="135" t="s">
        <v>46</v>
      </c>
      <c r="H12" s="157">
        <v>45544.0</v>
      </c>
      <c r="I12" s="142" t="s">
        <v>82</v>
      </c>
      <c r="J12" s="143">
        <v>15.0</v>
      </c>
      <c r="K12" s="144">
        <v>11.0</v>
      </c>
      <c r="L12" s="145" t="s">
        <v>315</v>
      </c>
      <c r="M12" s="17" t="s">
        <v>83</v>
      </c>
      <c r="N12" s="135" t="s">
        <v>141</v>
      </c>
      <c r="O12" s="147" t="s">
        <v>142</v>
      </c>
      <c r="P12" s="17" t="s">
        <v>86</v>
      </c>
      <c r="Q12" s="153" t="s">
        <v>39</v>
      </c>
      <c r="R12" s="32"/>
      <c r="S12" s="5"/>
      <c r="T12" s="5"/>
      <c r="U12" s="5"/>
    </row>
    <row r="13" ht="28.5" customHeight="1">
      <c r="A13" s="91">
        <v>7.0</v>
      </c>
      <c r="B13" s="126" t="s">
        <v>49</v>
      </c>
      <c r="C13" s="154" t="s">
        <v>50</v>
      </c>
      <c r="D13" s="158" t="s">
        <v>26</v>
      </c>
      <c r="E13" s="14" t="s">
        <v>13</v>
      </c>
      <c r="F13" s="159">
        <v>45870.0</v>
      </c>
      <c r="G13" s="135" t="s">
        <v>54</v>
      </c>
      <c r="H13" s="157">
        <v>45545.0</v>
      </c>
      <c r="I13" s="142" t="s">
        <v>82</v>
      </c>
      <c r="J13" s="160">
        <v>21.0</v>
      </c>
      <c r="K13" s="161">
        <v>5.0</v>
      </c>
      <c r="L13" s="145" t="s">
        <v>82</v>
      </c>
      <c r="M13" s="17" t="s">
        <v>109</v>
      </c>
      <c r="N13" s="135" t="s">
        <v>145</v>
      </c>
      <c r="O13" s="147" t="s">
        <v>147</v>
      </c>
      <c r="P13" s="17" t="s">
        <v>86</v>
      </c>
      <c r="Q13" s="153" t="s">
        <v>316</v>
      </c>
      <c r="R13" s="32"/>
      <c r="S13" s="5"/>
      <c r="T13" s="5"/>
      <c r="U13" s="5"/>
      <c r="V13" s="5"/>
      <c r="W13" s="5"/>
      <c r="X13" s="5"/>
      <c r="Y13" s="5"/>
      <c r="Z13" s="5"/>
    </row>
    <row r="14" ht="28.5" customHeight="1">
      <c r="A14" s="125">
        <v>8.0</v>
      </c>
      <c r="B14" s="126" t="s">
        <v>61</v>
      </c>
      <c r="C14" s="154" t="s">
        <v>62</v>
      </c>
      <c r="D14" s="129" t="s">
        <v>63</v>
      </c>
      <c r="E14" s="14" t="s">
        <v>13</v>
      </c>
      <c r="F14" s="131">
        <v>44652.0</v>
      </c>
      <c r="G14" s="135" t="s">
        <v>65</v>
      </c>
      <c r="H14" s="162" t="s">
        <v>317</v>
      </c>
      <c r="I14" s="142" t="s">
        <v>82</v>
      </c>
      <c r="J14" s="143">
        <v>10.0</v>
      </c>
      <c r="K14" s="144">
        <v>5.0</v>
      </c>
      <c r="L14" s="145" t="s">
        <v>318</v>
      </c>
      <c r="M14" s="17" t="s">
        <v>109</v>
      </c>
      <c r="N14" s="135" t="s">
        <v>155</v>
      </c>
      <c r="O14" s="147" t="s">
        <v>156</v>
      </c>
      <c r="P14" s="17" t="s">
        <v>86</v>
      </c>
      <c r="Q14" s="153" t="s">
        <v>319</v>
      </c>
      <c r="R14" s="32"/>
      <c r="S14" s="5"/>
      <c r="T14" s="5"/>
      <c r="U14" s="5"/>
    </row>
    <row r="15" ht="28.5" customHeight="1">
      <c r="A15" s="91">
        <v>9.0</v>
      </c>
      <c r="B15" s="126" t="s">
        <v>66</v>
      </c>
      <c r="C15" s="154" t="s">
        <v>67</v>
      </c>
      <c r="D15" s="158" t="s">
        <v>63</v>
      </c>
      <c r="E15" s="14" t="s">
        <v>13</v>
      </c>
      <c r="F15" s="159">
        <v>44929.0</v>
      </c>
      <c r="G15" s="155" t="s">
        <v>68</v>
      </c>
      <c r="H15" s="163">
        <v>44564.0</v>
      </c>
      <c r="I15" s="142" t="s">
        <v>161</v>
      </c>
      <c r="J15" s="160">
        <v>1.0</v>
      </c>
      <c r="K15" s="161">
        <v>0.0</v>
      </c>
      <c r="L15" s="164"/>
      <c r="M15" s="17" t="s">
        <v>83</v>
      </c>
      <c r="N15" s="135" t="s">
        <v>164</v>
      </c>
      <c r="O15" s="147" t="s">
        <v>165</v>
      </c>
      <c r="P15" s="17" t="s">
        <v>86</v>
      </c>
      <c r="Q15" s="153" t="s">
        <v>320</v>
      </c>
      <c r="R15" s="32"/>
      <c r="S15" s="5"/>
      <c r="T15" s="5"/>
      <c r="U15" s="5"/>
      <c r="V15" s="5"/>
      <c r="W15" s="5"/>
      <c r="X15" s="5"/>
      <c r="Y15" s="5"/>
      <c r="Z15" s="5"/>
    </row>
    <row r="16" ht="28.5" customHeight="1">
      <c r="A16" s="91">
        <v>10.0</v>
      </c>
      <c r="B16" s="126" t="s">
        <v>69</v>
      </c>
      <c r="C16" s="154" t="s">
        <v>70</v>
      </c>
      <c r="D16" s="158" t="s">
        <v>63</v>
      </c>
      <c r="E16" s="14" t="s">
        <v>13</v>
      </c>
      <c r="F16" s="159">
        <v>45870.0</v>
      </c>
      <c r="G16" s="135" t="s">
        <v>71</v>
      </c>
      <c r="H16" s="157">
        <v>44279.0</v>
      </c>
      <c r="I16" s="142" t="s">
        <v>82</v>
      </c>
      <c r="J16" s="160">
        <v>25.0</v>
      </c>
      <c r="K16" s="161">
        <v>10.0</v>
      </c>
      <c r="L16" s="145" t="s">
        <v>321</v>
      </c>
      <c r="M16" s="17" t="s">
        <v>109</v>
      </c>
      <c r="N16" s="135" t="s">
        <v>174</v>
      </c>
      <c r="O16" s="147" t="s">
        <v>175</v>
      </c>
      <c r="P16" s="17" t="s">
        <v>86</v>
      </c>
      <c r="Q16" s="153" t="s">
        <v>322</v>
      </c>
      <c r="R16" s="32"/>
      <c r="S16" s="5"/>
      <c r="T16" s="5"/>
      <c r="U16" s="5"/>
    </row>
    <row r="17" ht="28.5" customHeight="1">
      <c r="A17" s="125">
        <v>11.0</v>
      </c>
      <c r="B17" s="126" t="s">
        <v>72</v>
      </c>
      <c r="C17" s="154" t="s">
        <v>73</v>
      </c>
      <c r="D17" s="158" t="s">
        <v>63</v>
      </c>
      <c r="E17" s="14" t="s">
        <v>13</v>
      </c>
      <c r="F17" s="159">
        <v>45870.0</v>
      </c>
      <c r="G17" s="135" t="s">
        <v>71</v>
      </c>
      <c r="H17" s="157">
        <v>44279.0</v>
      </c>
      <c r="I17" s="142" t="s">
        <v>82</v>
      </c>
      <c r="J17" s="160">
        <v>25.0</v>
      </c>
      <c r="K17" s="161">
        <v>10.0</v>
      </c>
      <c r="L17" s="145" t="s">
        <v>321</v>
      </c>
      <c r="M17" s="17" t="s">
        <v>109</v>
      </c>
      <c r="N17" s="135" t="s">
        <v>177</v>
      </c>
      <c r="O17" s="147" t="s">
        <v>179</v>
      </c>
      <c r="P17" s="17" t="s">
        <v>86</v>
      </c>
      <c r="Q17" s="153" t="s">
        <v>72</v>
      </c>
      <c r="R17" s="32"/>
      <c r="S17" s="5"/>
      <c r="T17" s="5"/>
      <c r="U17" s="5"/>
    </row>
    <row r="18" ht="28.5" customHeight="1">
      <c r="A18" s="91">
        <v>12.0</v>
      </c>
      <c r="B18" s="126" t="s">
        <v>75</v>
      </c>
      <c r="C18" s="154" t="s">
        <v>76</v>
      </c>
      <c r="D18" s="158" t="s">
        <v>63</v>
      </c>
      <c r="E18" s="14" t="s">
        <v>13</v>
      </c>
      <c r="F18" s="159">
        <v>45931.0</v>
      </c>
      <c r="G18" s="135" t="s">
        <v>71</v>
      </c>
      <c r="H18" s="157">
        <v>44279.0</v>
      </c>
      <c r="I18" s="142" t="s">
        <v>82</v>
      </c>
      <c r="J18" s="160">
        <v>27.0</v>
      </c>
      <c r="K18" s="161">
        <v>0.0</v>
      </c>
      <c r="L18" s="145" t="s">
        <v>321</v>
      </c>
      <c r="M18" s="17" t="s">
        <v>109</v>
      </c>
      <c r="N18" s="135" t="s">
        <v>177</v>
      </c>
      <c r="O18" s="147" t="s">
        <v>185</v>
      </c>
      <c r="P18" s="17" t="s">
        <v>86</v>
      </c>
      <c r="Q18" s="153" t="s">
        <v>75</v>
      </c>
      <c r="R18" s="32"/>
      <c r="S18" s="5"/>
      <c r="T18" s="5"/>
      <c r="U18" s="5"/>
    </row>
    <row r="19" ht="28.5" customHeight="1">
      <c r="A19" s="91">
        <v>13.0</v>
      </c>
      <c r="B19" s="126" t="s">
        <v>77</v>
      </c>
      <c r="C19" s="154" t="s">
        <v>78</v>
      </c>
      <c r="D19" s="158" t="s">
        <v>63</v>
      </c>
      <c r="E19" s="14" t="s">
        <v>13</v>
      </c>
      <c r="F19" s="159">
        <v>45870.0</v>
      </c>
      <c r="G19" s="135" t="s">
        <v>71</v>
      </c>
      <c r="H19" s="157">
        <v>44279.0</v>
      </c>
      <c r="I19" s="142" t="s">
        <v>82</v>
      </c>
      <c r="J19" s="160">
        <v>24.0</v>
      </c>
      <c r="K19" s="161">
        <v>10.0</v>
      </c>
      <c r="L19" s="145" t="s">
        <v>321</v>
      </c>
      <c r="M19" s="17" t="s">
        <v>109</v>
      </c>
      <c r="N19" s="135" t="s">
        <v>192</v>
      </c>
      <c r="O19" s="147" t="s">
        <v>194</v>
      </c>
      <c r="P19" s="17" t="s">
        <v>86</v>
      </c>
      <c r="Q19" s="153" t="s">
        <v>77</v>
      </c>
      <c r="R19" s="32"/>
      <c r="S19" s="5"/>
      <c r="T19" s="5"/>
      <c r="U19" s="5"/>
    </row>
    <row r="20" ht="28.5" customHeight="1">
      <c r="A20" s="125">
        <v>14.0</v>
      </c>
      <c r="B20" s="181" t="s">
        <v>80</v>
      </c>
      <c r="C20" s="182" t="s">
        <v>81</v>
      </c>
      <c r="D20" s="158" t="s">
        <v>63</v>
      </c>
      <c r="E20" s="14" t="s">
        <v>13</v>
      </c>
      <c r="F20" s="159">
        <v>45931.0</v>
      </c>
      <c r="G20" s="135" t="s">
        <v>71</v>
      </c>
      <c r="H20" s="156">
        <v>45931.0</v>
      </c>
      <c r="I20" s="183" t="s">
        <v>82</v>
      </c>
      <c r="J20" s="184">
        <v>25.0</v>
      </c>
      <c r="K20" s="185">
        <v>0.0</v>
      </c>
      <c r="L20" s="186"/>
      <c r="M20" s="52" t="s">
        <v>109</v>
      </c>
      <c r="N20" s="187" t="s">
        <v>192</v>
      </c>
      <c r="O20" s="188" t="s">
        <v>213</v>
      </c>
      <c r="P20" s="52" t="s">
        <v>214</v>
      </c>
      <c r="Q20" s="189" t="s">
        <v>80</v>
      </c>
      <c r="R20" s="56"/>
      <c r="S20" s="57"/>
      <c r="T20" s="57"/>
      <c r="U20" s="57"/>
      <c r="V20" s="57"/>
      <c r="W20" s="57"/>
      <c r="X20" s="57"/>
      <c r="Y20" s="57"/>
      <c r="Z20" s="57"/>
    </row>
    <row r="21" ht="28.5" customHeight="1">
      <c r="A21" s="91">
        <v>15.0</v>
      </c>
      <c r="B21" s="126" t="s">
        <v>89</v>
      </c>
      <c r="C21" s="154" t="s">
        <v>90</v>
      </c>
      <c r="D21" s="158" t="s">
        <v>63</v>
      </c>
      <c r="E21" s="14" t="s">
        <v>13</v>
      </c>
      <c r="F21" s="159">
        <v>45931.0</v>
      </c>
      <c r="G21" s="135" t="s">
        <v>71</v>
      </c>
      <c r="H21" s="156">
        <v>45931.0</v>
      </c>
      <c r="I21" s="142" t="s">
        <v>82</v>
      </c>
      <c r="J21" s="190">
        <v>25.0</v>
      </c>
      <c r="K21" s="161">
        <v>0.0</v>
      </c>
      <c r="L21" s="164"/>
      <c r="M21" s="17" t="s">
        <v>109</v>
      </c>
      <c r="N21" s="135" t="s">
        <v>192</v>
      </c>
      <c r="O21" s="147" t="s">
        <v>218</v>
      </c>
      <c r="P21" s="17" t="s">
        <v>86</v>
      </c>
      <c r="Q21" s="153" t="s">
        <v>89</v>
      </c>
      <c r="R21" s="32"/>
      <c r="S21" s="5"/>
      <c r="T21" s="5"/>
      <c r="U21" s="5"/>
    </row>
    <row r="22" ht="28.5" customHeight="1">
      <c r="A22" s="91">
        <v>16.0</v>
      </c>
      <c r="B22" s="126" t="s">
        <v>91</v>
      </c>
      <c r="C22" s="154" t="s">
        <v>92</v>
      </c>
      <c r="D22" s="129" t="s">
        <v>63</v>
      </c>
      <c r="E22" s="14" t="s">
        <v>13</v>
      </c>
      <c r="F22" s="131">
        <v>45200.0</v>
      </c>
      <c r="G22" s="135" t="s">
        <v>93</v>
      </c>
      <c r="H22" s="157">
        <v>43922.0</v>
      </c>
      <c r="I22" s="142" t="s">
        <v>161</v>
      </c>
      <c r="J22" s="125">
        <v>10.0</v>
      </c>
      <c r="K22" s="144">
        <v>4.0</v>
      </c>
      <c r="L22" s="145" t="s">
        <v>339</v>
      </c>
      <c r="M22" s="17" t="s">
        <v>109</v>
      </c>
      <c r="N22" s="135" t="s">
        <v>219</v>
      </c>
      <c r="O22" s="147" t="s">
        <v>220</v>
      </c>
      <c r="P22" s="17" t="s">
        <v>86</v>
      </c>
      <c r="Q22" s="153" t="s">
        <v>340</v>
      </c>
      <c r="R22" s="32"/>
      <c r="S22" s="5"/>
      <c r="T22" s="5"/>
      <c r="U22" s="5"/>
      <c r="V22" s="5"/>
      <c r="W22" s="5"/>
      <c r="X22" s="5"/>
      <c r="Y22" s="5"/>
      <c r="Z22" s="5"/>
    </row>
    <row r="23" ht="28.5" customHeight="1">
      <c r="A23" s="125">
        <v>17.0</v>
      </c>
      <c r="B23" s="126" t="s">
        <v>95</v>
      </c>
      <c r="C23" s="154" t="s">
        <v>96</v>
      </c>
      <c r="D23" s="129" t="s">
        <v>98</v>
      </c>
      <c r="E23" s="14" t="s">
        <v>13</v>
      </c>
      <c r="F23" s="131">
        <v>44652.0</v>
      </c>
      <c r="G23" s="155" t="s">
        <v>100</v>
      </c>
      <c r="H23" s="156">
        <v>44385.0</v>
      </c>
      <c r="I23" s="142" t="s">
        <v>82</v>
      </c>
      <c r="J23" s="125">
        <v>17.0</v>
      </c>
      <c r="K23" s="161">
        <v>6.0</v>
      </c>
      <c r="L23" s="164"/>
      <c r="M23" s="17" t="s">
        <v>222</v>
      </c>
      <c r="N23" s="135" t="s">
        <v>223</v>
      </c>
      <c r="O23" s="157" t="s">
        <v>224</v>
      </c>
      <c r="P23" s="17" t="s">
        <v>86</v>
      </c>
      <c r="Q23" s="153" t="s">
        <v>95</v>
      </c>
      <c r="R23" s="32"/>
      <c r="S23" s="5"/>
      <c r="T23" s="5"/>
      <c r="U23" s="5"/>
      <c r="V23" s="5"/>
      <c r="W23" s="5"/>
      <c r="X23" s="5"/>
      <c r="Y23" s="5"/>
      <c r="Z23" s="5"/>
    </row>
    <row r="24" ht="28.5" customHeight="1">
      <c r="A24" s="91">
        <v>18.0</v>
      </c>
      <c r="B24" s="126" t="s">
        <v>101</v>
      </c>
      <c r="C24" s="154" t="s">
        <v>102</v>
      </c>
      <c r="D24" s="158" t="s">
        <v>104</v>
      </c>
      <c r="E24" s="14" t="s">
        <v>13</v>
      </c>
      <c r="F24" s="131">
        <v>44835.0</v>
      </c>
      <c r="G24" s="135" t="s">
        <v>105</v>
      </c>
      <c r="H24" s="156">
        <v>44403.0</v>
      </c>
      <c r="I24" s="142" t="s">
        <v>82</v>
      </c>
      <c r="J24" s="125">
        <v>6.0</v>
      </c>
      <c r="K24" s="144">
        <v>9.0</v>
      </c>
      <c r="L24" s="164"/>
      <c r="M24" s="17" t="s">
        <v>225</v>
      </c>
      <c r="N24" s="135" t="s">
        <v>226</v>
      </c>
      <c r="O24" s="147" t="s">
        <v>227</v>
      </c>
      <c r="P24" s="17" t="s">
        <v>86</v>
      </c>
      <c r="Q24" s="153" t="s">
        <v>101</v>
      </c>
      <c r="R24" s="32"/>
      <c r="S24" s="5"/>
      <c r="T24" s="5"/>
      <c r="U24" s="5"/>
    </row>
    <row r="25" ht="28.5" customHeight="1">
      <c r="A25" s="91">
        <v>19.0</v>
      </c>
      <c r="B25" s="126" t="s">
        <v>107</v>
      </c>
      <c r="C25" s="154" t="s">
        <v>108</v>
      </c>
      <c r="D25" s="158" t="s">
        <v>104</v>
      </c>
      <c r="E25" s="14" t="s">
        <v>13</v>
      </c>
      <c r="F25" s="159">
        <v>45444.0</v>
      </c>
      <c r="G25" s="135" t="s">
        <v>105</v>
      </c>
      <c r="H25" s="157">
        <v>44531.0</v>
      </c>
      <c r="I25" s="142" t="s">
        <v>82</v>
      </c>
      <c r="J25" s="190">
        <v>6.0</v>
      </c>
      <c r="K25" s="144">
        <v>6.0</v>
      </c>
      <c r="L25" s="145" t="s">
        <v>341</v>
      </c>
      <c r="M25" s="17" t="s">
        <v>109</v>
      </c>
      <c r="N25" s="135" t="s">
        <v>229</v>
      </c>
      <c r="O25" s="157" t="s">
        <v>230</v>
      </c>
      <c r="P25" s="17" t="s">
        <v>86</v>
      </c>
      <c r="Q25" s="153" t="s">
        <v>344</v>
      </c>
      <c r="R25" s="32"/>
      <c r="S25" s="5"/>
      <c r="T25" s="5"/>
      <c r="U25" s="5"/>
    </row>
    <row r="26" ht="28.5" customHeight="1">
      <c r="A26" s="125">
        <v>20.0</v>
      </c>
      <c r="B26" s="126" t="s">
        <v>110</v>
      </c>
      <c r="C26" s="154" t="s">
        <v>112</v>
      </c>
      <c r="D26" s="158" t="s">
        <v>104</v>
      </c>
      <c r="E26" s="14" t="s">
        <v>13</v>
      </c>
      <c r="F26" s="159">
        <v>45444.0</v>
      </c>
      <c r="G26" s="135" t="s">
        <v>114</v>
      </c>
      <c r="H26" s="157">
        <v>44531.0</v>
      </c>
      <c r="I26" s="142" t="s">
        <v>82</v>
      </c>
      <c r="J26" s="190">
        <v>6.0</v>
      </c>
      <c r="K26" s="144">
        <v>6.0</v>
      </c>
      <c r="L26" s="145" t="s">
        <v>341</v>
      </c>
      <c r="M26" s="17" t="s">
        <v>109</v>
      </c>
      <c r="N26" s="135" t="s">
        <v>233</v>
      </c>
      <c r="O26" s="157" t="s">
        <v>234</v>
      </c>
      <c r="P26" s="17" t="s">
        <v>86</v>
      </c>
      <c r="Q26" s="153" t="s">
        <v>110</v>
      </c>
      <c r="R26" s="32"/>
      <c r="S26" s="5"/>
      <c r="T26" s="5"/>
      <c r="U26" s="5"/>
    </row>
    <row r="27" ht="28.5" customHeight="1">
      <c r="A27" s="91">
        <v>21.0</v>
      </c>
      <c r="B27" s="92" t="s">
        <v>115</v>
      </c>
      <c r="C27" s="93" t="s">
        <v>117</v>
      </c>
      <c r="D27" s="158" t="s">
        <v>118</v>
      </c>
      <c r="E27" s="14" t="s">
        <v>119</v>
      </c>
      <c r="F27" s="96">
        <v>44562.0</v>
      </c>
      <c r="G27" s="99" t="s">
        <v>120</v>
      </c>
      <c r="H27" s="221">
        <v>44562.0</v>
      </c>
      <c r="I27" s="104"/>
      <c r="J27" s="126" t="s">
        <v>161</v>
      </c>
      <c r="K27" s="111" t="s">
        <v>82</v>
      </c>
      <c r="L27" s="111" t="s">
        <v>387</v>
      </c>
      <c r="M27" s="10" t="s">
        <v>109</v>
      </c>
      <c r="N27" s="99" t="s">
        <v>120</v>
      </c>
      <c r="O27" s="221" t="s">
        <v>239</v>
      </c>
      <c r="P27" s="17" t="s">
        <v>86</v>
      </c>
      <c r="Q27" s="121" t="s">
        <v>115</v>
      </c>
      <c r="R27" s="32"/>
      <c r="S27" s="5"/>
      <c r="T27" s="5"/>
      <c r="U27" s="5"/>
      <c r="V27" s="5"/>
      <c r="W27" s="5"/>
      <c r="X27" s="5"/>
      <c r="Y27" s="5"/>
      <c r="Z27" s="5"/>
    </row>
    <row r="28" ht="28.5" customHeight="1">
      <c r="A28" s="91">
        <v>22.0</v>
      </c>
      <c r="B28" s="126" t="s">
        <v>121</v>
      </c>
      <c r="C28" s="230" t="s">
        <v>122</v>
      </c>
      <c r="D28" s="158" t="s">
        <v>118</v>
      </c>
      <c r="E28" s="14" t="s">
        <v>119</v>
      </c>
      <c r="F28" s="231">
        <v>44930.0</v>
      </c>
      <c r="G28" s="99" t="s">
        <v>120</v>
      </c>
      <c r="H28" s="233">
        <v>44930.0</v>
      </c>
      <c r="I28" s="234" t="s">
        <v>82</v>
      </c>
      <c r="J28" s="236" t="s">
        <v>82</v>
      </c>
      <c r="K28" s="237" t="s">
        <v>82</v>
      </c>
      <c r="L28" s="238" t="s">
        <v>301</v>
      </c>
      <c r="M28" s="129" t="s">
        <v>246</v>
      </c>
      <c r="N28" s="239" t="s">
        <v>247</v>
      </c>
      <c r="O28" s="147" t="s">
        <v>248</v>
      </c>
      <c r="P28" s="17" t="s">
        <v>86</v>
      </c>
      <c r="Q28" s="153" t="s">
        <v>121</v>
      </c>
      <c r="R28" s="32"/>
      <c r="S28" s="5"/>
      <c r="T28" s="5"/>
      <c r="U28" s="5"/>
      <c r="V28" s="5"/>
      <c r="W28" s="5"/>
      <c r="X28" s="5"/>
      <c r="Y28" s="5"/>
      <c r="Z28" s="5"/>
    </row>
    <row r="29" ht="28.5" customHeight="1">
      <c r="A29" s="125">
        <v>23.0</v>
      </c>
      <c r="B29" s="261" t="s">
        <v>127</v>
      </c>
      <c r="C29" s="265" t="s">
        <v>128</v>
      </c>
      <c r="D29" s="158" t="s">
        <v>118</v>
      </c>
      <c r="E29" s="14" t="s">
        <v>129</v>
      </c>
      <c r="F29" s="159">
        <v>45962.0</v>
      </c>
      <c r="G29" s="99" t="s">
        <v>120</v>
      </c>
      <c r="H29" s="272">
        <v>42370.0</v>
      </c>
      <c r="I29" s="275" t="s">
        <v>82</v>
      </c>
      <c r="J29" s="236" t="s">
        <v>82</v>
      </c>
      <c r="K29" s="277" t="s">
        <v>82</v>
      </c>
      <c r="L29" s="279" t="s">
        <v>475</v>
      </c>
      <c r="M29" s="94" t="s">
        <v>250</v>
      </c>
      <c r="N29" s="282" t="s">
        <v>251</v>
      </c>
      <c r="O29" s="272" t="s">
        <v>252</v>
      </c>
      <c r="P29" s="10" t="s">
        <v>86</v>
      </c>
      <c r="Q29" s="121" t="s">
        <v>489</v>
      </c>
      <c r="R29" s="66"/>
      <c r="S29" s="67"/>
      <c r="T29" s="67"/>
      <c r="U29" s="67"/>
      <c r="V29" s="67"/>
      <c r="W29" s="67"/>
      <c r="X29" s="67"/>
      <c r="Y29" s="67"/>
      <c r="Z29" s="67"/>
    </row>
    <row r="30" ht="28.5" customHeight="1">
      <c r="A30" s="91">
        <v>24.0</v>
      </c>
      <c r="B30" s="126" t="s">
        <v>132</v>
      </c>
      <c r="C30" s="300" t="s">
        <v>133</v>
      </c>
      <c r="D30" s="158" t="s">
        <v>118</v>
      </c>
      <c r="E30" s="14" t="s">
        <v>129</v>
      </c>
      <c r="F30" s="159">
        <v>45962.0</v>
      </c>
      <c r="G30" s="303" t="s">
        <v>137</v>
      </c>
      <c r="H30" s="304">
        <v>42758.0</v>
      </c>
      <c r="I30" s="234" t="s">
        <v>82</v>
      </c>
      <c r="J30" s="236" t="s">
        <v>82</v>
      </c>
      <c r="K30" s="237" t="s">
        <v>82</v>
      </c>
      <c r="L30" s="238" t="s">
        <v>548</v>
      </c>
      <c r="M30" s="129" t="s">
        <v>255</v>
      </c>
      <c r="N30" s="239" t="s">
        <v>256</v>
      </c>
      <c r="O30" s="304" t="s">
        <v>257</v>
      </c>
      <c r="P30" s="17" t="s">
        <v>86</v>
      </c>
      <c r="Q30" s="153" t="s">
        <v>559</v>
      </c>
      <c r="R30" s="66"/>
      <c r="S30" s="67"/>
      <c r="T30" s="67"/>
      <c r="U30" s="67"/>
      <c r="V30" s="67"/>
      <c r="W30" s="67"/>
      <c r="X30" s="67"/>
      <c r="Y30" s="67"/>
      <c r="Z30" s="67"/>
    </row>
    <row r="31" ht="28.5" customHeight="1">
      <c r="A31" s="91">
        <v>25.0</v>
      </c>
      <c r="B31" s="126" t="s">
        <v>138</v>
      </c>
      <c r="C31" s="300" t="s">
        <v>139</v>
      </c>
      <c r="D31" s="158" t="s">
        <v>118</v>
      </c>
      <c r="E31" s="14" t="s">
        <v>129</v>
      </c>
      <c r="F31" s="159">
        <v>45962.0</v>
      </c>
      <c r="G31" s="312" t="s">
        <v>120</v>
      </c>
      <c r="H31" s="304">
        <v>43497.0</v>
      </c>
      <c r="I31" s="234" t="s">
        <v>82</v>
      </c>
      <c r="J31" s="236" t="s">
        <v>82</v>
      </c>
      <c r="K31" s="237" t="s">
        <v>82</v>
      </c>
      <c r="L31" s="238" t="s">
        <v>619</v>
      </c>
      <c r="M31" s="129" t="s">
        <v>250</v>
      </c>
      <c r="N31" s="239" t="s">
        <v>258</v>
      </c>
      <c r="O31" s="304" t="s">
        <v>259</v>
      </c>
      <c r="P31" s="17" t="s">
        <v>86</v>
      </c>
      <c r="Q31" s="153" t="s">
        <v>631</v>
      </c>
      <c r="R31" s="66"/>
      <c r="S31" s="67"/>
      <c r="T31" s="67"/>
      <c r="U31" s="67"/>
      <c r="V31" s="67"/>
      <c r="W31" s="67"/>
      <c r="X31" s="67"/>
      <c r="Y31" s="67"/>
      <c r="Z31" s="67"/>
    </row>
    <row r="32" ht="28.5" customHeight="1">
      <c r="A32" s="125">
        <v>26.0</v>
      </c>
      <c r="B32" s="126" t="s">
        <v>143</v>
      </c>
      <c r="C32" s="154" t="s">
        <v>144</v>
      </c>
      <c r="D32" s="158" t="s">
        <v>118</v>
      </c>
      <c r="E32" s="158" t="s">
        <v>119</v>
      </c>
      <c r="F32" s="313">
        <v>45294.0</v>
      </c>
      <c r="G32" s="303" t="s">
        <v>120</v>
      </c>
      <c r="H32" s="315">
        <v>45294.0</v>
      </c>
      <c r="I32" s="234" t="s">
        <v>82</v>
      </c>
      <c r="J32" s="236" t="s">
        <v>82</v>
      </c>
      <c r="K32" s="237" t="s">
        <v>82</v>
      </c>
      <c r="L32" s="238" t="s">
        <v>690</v>
      </c>
      <c r="M32" s="129" t="s">
        <v>246</v>
      </c>
      <c r="N32" s="239" t="s">
        <v>260</v>
      </c>
      <c r="O32" s="304" t="s">
        <v>261</v>
      </c>
      <c r="P32" s="17" t="s">
        <v>86</v>
      </c>
      <c r="Q32" s="153" t="s">
        <v>700</v>
      </c>
      <c r="R32" s="66"/>
      <c r="S32" s="67"/>
      <c r="T32" s="67"/>
      <c r="U32" s="67"/>
      <c r="V32" s="67"/>
      <c r="W32" s="67"/>
      <c r="X32" s="67"/>
      <c r="Y32" s="67"/>
      <c r="Z32" s="67"/>
    </row>
    <row r="33" ht="28.5" customHeight="1">
      <c r="A33" s="91">
        <v>27.0</v>
      </c>
      <c r="B33" s="328" t="s">
        <v>146</v>
      </c>
      <c r="C33" s="230" t="s">
        <v>148</v>
      </c>
      <c r="D33" s="158" t="s">
        <v>149</v>
      </c>
      <c r="E33" s="14" t="s">
        <v>129</v>
      </c>
      <c r="F33" s="159">
        <v>45962.0</v>
      </c>
      <c r="G33" s="303" t="s">
        <v>150</v>
      </c>
      <c r="H33" s="304">
        <v>35643.0</v>
      </c>
      <c r="I33" s="234" t="s">
        <v>82</v>
      </c>
      <c r="J33" s="236" t="s">
        <v>82</v>
      </c>
      <c r="K33" s="237" t="s">
        <v>82</v>
      </c>
      <c r="L33" s="238" t="s">
        <v>717</v>
      </c>
      <c r="M33" s="129" t="s">
        <v>268</v>
      </c>
      <c r="N33" s="147" t="s">
        <v>269</v>
      </c>
      <c r="O33" s="304" t="s">
        <v>270</v>
      </c>
      <c r="P33" s="17" t="s">
        <v>86</v>
      </c>
      <c r="Q33" s="153" t="s">
        <v>146</v>
      </c>
      <c r="R33" s="66"/>
      <c r="S33" s="67"/>
      <c r="T33" s="67"/>
      <c r="U33" s="67"/>
      <c r="V33" s="67"/>
      <c r="W33" s="67"/>
      <c r="X33" s="67"/>
      <c r="Y33" s="67"/>
      <c r="Z33" s="67"/>
    </row>
    <row r="34" ht="28.5" customHeight="1">
      <c r="A34" s="91">
        <v>28.0</v>
      </c>
      <c r="B34" s="126" t="s">
        <v>151</v>
      </c>
      <c r="C34" s="300" t="s">
        <v>152</v>
      </c>
      <c r="D34" s="158" t="s">
        <v>153</v>
      </c>
      <c r="E34" s="129"/>
      <c r="F34" s="236" t="s">
        <v>82</v>
      </c>
      <c r="G34" s="239" t="s">
        <v>154</v>
      </c>
      <c r="H34" s="304">
        <v>43101.0</v>
      </c>
      <c r="I34" s="234" t="s">
        <v>82</v>
      </c>
      <c r="J34" s="236" t="s">
        <v>82</v>
      </c>
      <c r="K34" s="237" t="s">
        <v>82</v>
      </c>
      <c r="L34" s="238" t="s">
        <v>718</v>
      </c>
      <c r="M34" s="129" t="s">
        <v>271</v>
      </c>
      <c r="N34" s="147" t="s">
        <v>272</v>
      </c>
      <c r="O34" s="304" t="s">
        <v>273</v>
      </c>
      <c r="P34" s="17" t="s">
        <v>86</v>
      </c>
      <c r="Q34" s="153" t="s">
        <v>151</v>
      </c>
      <c r="R34" s="66"/>
      <c r="S34" s="67"/>
      <c r="T34" s="67"/>
      <c r="U34" s="67"/>
      <c r="V34" s="67"/>
      <c r="W34" s="67"/>
      <c r="X34" s="67"/>
      <c r="Y34" s="67"/>
      <c r="Z34" s="67"/>
    </row>
    <row r="35" ht="28.5" customHeight="1">
      <c r="A35" s="125">
        <v>29.0</v>
      </c>
      <c r="B35" s="126" t="s">
        <v>158</v>
      </c>
      <c r="C35" s="300" t="s">
        <v>159</v>
      </c>
      <c r="D35" s="158" t="s">
        <v>153</v>
      </c>
      <c r="E35" s="129"/>
      <c r="F35" s="236" t="s">
        <v>82</v>
      </c>
      <c r="G35" s="239" t="s">
        <v>154</v>
      </c>
      <c r="H35" s="329" t="s">
        <v>274</v>
      </c>
      <c r="I35" s="234" t="s">
        <v>82</v>
      </c>
      <c r="J35" s="236" t="s">
        <v>82</v>
      </c>
      <c r="K35" s="237" t="s">
        <v>82</v>
      </c>
      <c r="L35" s="238" t="s">
        <v>719</v>
      </c>
      <c r="M35" s="129" t="s">
        <v>275</v>
      </c>
      <c r="N35" s="147" t="s">
        <v>276</v>
      </c>
      <c r="O35" s="304" t="s">
        <v>277</v>
      </c>
      <c r="P35" s="17" t="s">
        <v>86</v>
      </c>
      <c r="Q35" s="153" t="s">
        <v>158</v>
      </c>
      <c r="R35" s="66"/>
      <c r="S35" s="67"/>
      <c r="T35" s="67"/>
      <c r="U35" s="67"/>
      <c r="V35" s="67"/>
      <c r="W35" s="67"/>
      <c r="X35" s="67"/>
      <c r="Y35" s="67"/>
      <c r="Z35" s="67"/>
    </row>
    <row r="36" ht="28.5" customHeight="1">
      <c r="A36" s="91">
        <v>30.0</v>
      </c>
      <c r="B36" s="126" t="s">
        <v>162</v>
      </c>
      <c r="C36" s="300" t="s">
        <v>163</v>
      </c>
      <c r="D36" s="158" t="s">
        <v>149</v>
      </c>
      <c r="E36" s="14" t="s">
        <v>129</v>
      </c>
      <c r="F36" s="159">
        <v>45962.0</v>
      </c>
      <c r="G36" s="303" t="s">
        <v>150</v>
      </c>
      <c r="H36" s="304">
        <v>43222.0</v>
      </c>
      <c r="I36" s="234" t="s">
        <v>82</v>
      </c>
      <c r="J36" s="236" t="s">
        <v>82</v>
      </c>
      <c r="K36" s="237" t="s">
        <v>82</v>
      </c>
      <c r="L36" s="238" t="s">
        <v>720</v>
      </c>
      <c r="M36" s="129" t="s">
        <v>284</v>
      </c>
      <c r="N36" s="135" t="s">
        <v>285</v>
      </c>
      <c r="O36" s="304" t="s">
        <v>286</v>
      </c>
      <c r="P36" s="17" t="s">
        <v>86</v>
      </c>
      <c r="Q36" s="153" t="s">
        <v>162</v>
      </c>
      <c r="R36" s="66"/>
      <c r="S36" s="67"/>
      <c r="T36" s="67"/>
      <c r="U36" s="67"/>
      <c r="V36" s="67"/>
      <c r="W36" s="67"/>
      <c r="X36" s="67"/>
      <c r="Y36" s="67"/>
      <c r="Z36" s="67"/>
    </row>
    <row r="37" ht="28.5" customHeight="1">
      <c r="A37" s="91">
        <v>31.0</v>
      </c>
      <c r="B37" s="126" t="s">
        <v>166</v>
      </c>
      <c r="C37" s="230" t="s">
        <v>167</v>
      </c>
      <c r="D37" s="158" t="s">
        <v>118</v>
      </c>
      <c r="E37" s="14" t="s">
        <v>129</v>
      </c>
      <c r="F37" s="159">
        <v>45962.0</v>
      </c>
      <c r="G37" s="155" t="s">
        <v>168</v>
      </c>
      <c r="H37" s="330">
        <v>43832.0</v>
      </c>
      <c r="I37" s="234" t="s">
        <v>82</v>
      </c>
      <c r="J37" s="236" t="s">
        <v>82</v>
      </c>
      <c r="K37" s="237" t="s">
        <v>82</v>
      </c>
      <c r="L37" s="238" t="s">
        <v>722</v>
      </c>
      <c r="M37" s="129" t="s">
        <v>246</v>
      </c>
      <c r="N37" s="126" t="s">
        <v>288</v>
      </c>
      <c r="O37" s="126" t="s">
        <v>288</v>
      </c>
      <c r="P37" s="17" t="s">
        <v>86</v>
      </c>
      <c r="Q37" s="153" t="s">
        <v>731</v>
      </c>
    </row>
    <row r="38" ht="28.5" customHeight="1">
      <c r="A38" s="125">
        <v>32.0</v>
      </c>
      <c r="B38" s="236" t="s">
        <v>169</v>
      </c>
      <c r="C38" s="230" t="s">
        <v>170</v>
      </c>
      <c r="D38" s="158" t="s">
        <v>118</v>
      </c>
      <c r="E38" s="14" t="s">
        <v>129</v>
      </c>
      <c r="F38" s="159">
        <v>45962.0</v>
      </c>
      <c r="G38" s="303" t="s">
        <v>171</v>
      </c>
      <c r="H38" s="330">
        <v>44256.0</v>
      </c>
      <c r="I38" s="129" t="s">
        <v>82</v>
      </c>
      <c r="J38" s="236" t="s">
        <v>82</v>
      </c>
      <c r="K38" s="236" t="s">
        <v>82</v>
      </c>
      <c r="L38" s="335" t="s">
        <v>321</v>
      </c>
      <c r="M38" s="129" t="s">
        <v>246</v>
      </c>
      <c r="N38" s="126" t="s">
        <v>290</v>
      </c>
      <c r="O38" s="147" t="s">
        <v>291</v>
      </c>
      <c r="P38" s="17" t="s">
        <v>86</v>
      </c>
      <c r="Q38" s="153" t="s">
        <v>169</v>
      </c>
    </row>
    <row r="39" ht="28.5" customHeight="1">
      <c r="A39" s="91">
        <v>33.0</v>
      </c>
      <c r="B39" s="236" t="s">
        <v>172</v>
      </c>
      <c r="C39" s="230" t="s">
        <v>173</v>
      </c>
      <c r="D39" s="158" t="s">
        <v>118</v>
      </c>
      <c r="E39" s="14" t="s">
        <v>129</v>
      </c>
      <c r="F39" s="159">
        <v>45962.0</v>
      </c>
      <c r="G39" s="312" t="s">
        <v>120</v>
      </c>
      <c r="H39" s="346" t="s">
        <v>292</v>
      </c>
      <c r="I39" s="129" t="s">
        <v>82</v>
      </c>
      <c r="J39" s="236" t="s">
        <v>82</v>
      </c>
      <c r="K39" s="236" t="s">
        <v>82</v>
      </c>
      <c r="L39" s="335" t="s">
        <v>741</v>
      </c>
      <c r="M39" s="129" t="s">
        <v>246</v>
      </c>
      <c r="N39" s="239" t="s">
        <v>293</v>
      </c>
      <c r="O39" s="147" t="s">
        <v>294</v>
      </c>
      <c r="P39" s="17" t="s">
        <v>86</v>
      </c>
      <c r="Q39" s="153" t="s">
        <v>172</v>
      </c>
    </row>
    <row r="40" ht="28.5" customHeight="1">
      <c r="A40" s="91">
        <v>34.0</v>
      </c>
      <c r="B40" s="236" t="s">
        <v>743</v>
      </c>
      <c r="C40" s="230" t="s">
        <v>178</v>
      </c>
      <c r="D40" s="158" t="s">
        <v>118</v>
      </c>
      <c r="E40" s="14" t="s">
        <v>129</v>
      </c>
      <c r="F40" s="159">
        <v>45962.0</v>
      </c>
      <c r="G40" s="155" t="s">
        <v>180</v>
      </c>
      <c r="H40" s="330">
        <v>44564.0</v>
      </c>
      <c r="I40" s="129" t="s">
        <v>82</v>
      </c>
      <c r="J40" s="236" t="s">
        <v>82</v>
      </c>
      <c r="K40" s="236" t="s">
        <v>82</v>
      </c>
      <c r="L40" s="335" t="s">
        <v>747</v>
      </c>
      <c r="M40" s="129" t="s">
        <v>246</v>
      </c>
      <c r="N40" s="135" t="s">
        <v>297</v>
      </c>
      <c r="O40" s="147" t="s">
        <v>298</v>
      </c>
      <c r="P40" s="17" t="s">
        <v>86</v>
      </c>
      <c r="Q40" s="153" t="s">
        <v>547</v>
      </c>
    </row>
    <row r="41" ht="28.5" customHeight="1">
      <c r="A41" s="125">
        <v>35.0</v>
      </c>
      <c r="B41" s="236" t="s">
        <v>181</v>
      </c>
      <c r="C41" s="230" t="s">
        <v>182</v>
      </c>
      <c r="D41" s="158" t="s">
        <v>153</v>
      </c>
      <c r="E41" s="129"/>
      <c r="F41" s="236" t="s">
        <v>82</v>
      </c>
      <c r="G41" s="126" t="s">
        <v>183</v>
      </c>
      <c r="H41" s="330">
        <v>44868.0</v>
      </c>
      <c r="I41" s="129" t="s">
        <v>82</v>
      </c>
      <c r="J41" s="236" t="s">
        <v>82</v>
      </c>
      <c r="K41" s="236" t="s">
        <v>82</v>
      </c>
      <c r="L41" s="236"/>
      <c r="M41" s="129" t="s">
        <v>255</v>
      </c>
      <c r="N41" s="126" t="s">
        <v>299</v>
      </c>
      <c r="O41" s="147" t="s">
        <v>300</v>
      </c>
      <c r="P41" s="17" t="s">
        <v>86</v>
      </c>
      <c r="Q41" s="153" t="s">
        <v>756</v>
      </c>
    </row>
    <row r="42" ht="28.5" customHeight="1">
      <c r="A42" s="91">
        <v>36.0</v>
      </c>
      <c r="B42" s="335" t="s">
        <v>184</v>
      </c>
      <c r="C42" s="367" t="s">
        <v>186</v>
      </c>
      <c r="D42" s="158" t="s">
        <v>118</v>
      </c>
      <c r="E42" s="158" t="s">
        <v>119</v>
      </c>
      <c r="F42" s="313">
        <v>45294.0</v>
      </c>
      <c r="G42" s="155" t="s">
        <v>180</v>
      </c>
      <c r="H42" s="315">
        <v>45294.0</v>
      </c>
      <c r="I42" s="129"/>
      <c r="J42" s="143"/>
      <c r="K42" s="143"/>
      <c r="L42" s="335" t="s">
        <v>690</v>
      </c>
      <c r="M42" s="129" t="s">
        <v>246</v>
      </c>
      <c r="N42" s="155" t="s">
        <v>768</v>
      </c>
      <c r="O42" s="162" t="s">
        <v>770</v>
      </c>
      <c r="P42" s="17" t="s">
        <v>86</v>
      </c>
      <c r="Q42" s="153" t="s">
        <v>774</v>
      </c>
    </row>
    <row r="43" ht="28.5" customHeight="1">
      <c r="A43" s="91">
        <v>37.0</v>
      </c>
      <c r="B43" s="335" t="s">
        <v>188</v>
      </c>
      <c r="C43" s="367" t="s">
        <v>189</v>
      </c>
      <c r="D43" s="158" t="s">
        <v>190</v>
      </c>
      <c r="E43" s="158" t="s">
        <v>119</v>
      </c>
      <c r="F43" s="313">
        <v>45294.0</v>
      </c>
      <c r="G43" s="384" t="s">
        <v>193</v>
      </c>
      <c r="H43" s="315">
        <v>45294.0</v>
      </c>
      <c r="I43" s="129"/>
      <c r="J43" s="143"/>
      <c r="K43" s="143"/>
      <c r="L43" s="335" t="s">
        <v>690</v>
      </c>
      <c r="M43" s="129" t="s">
        <v>255</v>
      </c>
      <c r="N43" s="312" t="s">
        <v>795</v>
      </c>
      <c r="O43" s="162" t="s">
        <v>799</v>
      </c>
      <c r="P43" s="17" t="s">
        <v>86</v>
      </c>
      <c r="Q43" s="153" t="s">
        <v>807</v>
      </c>
    </row>
    <row r="44" ht="28.5" customHeight="1">
      <c r="A44" s="125">
        <v>38.0</v>
      </c>
      <c r="B44" s="335" t="s">
        <v>195</v>
      </c>
      <c r="C44" s="367" t="s">
        <v>197</v>
      </c>
      <c r="D44" s="158" t="s">
        <v>118</v>
      </c>
      <c r="E44" s="158" t="s">
        <v>119</v>
      </c>
      <c r="F44" s="313">
        <v>45294.0</v>
      </c>
      <c r="G44" s="303" t="s">
        <v>120</v>
      </c>
      <c r="H44" s="315">
        <v>45294.0</v>
      </c>
      <c r="I44" s="129"/>
      <c r="J44" s="143"/>
      <c r="K44" s="143"/>
      <c r="L44" s="335" t="s">
        <v>690</v>
      </c>
      <c r="M44" s="158" t="s">
        <v>225</v>
      </c>
      <c r="N44" s="312" t="s">
        <v>855</v>
      </c>
      <c r="O44" s="162" t="s">
        <v>860</v>
      </c>
      <c r="P44" s="17" t="s">
        <v>86</v>
      </c>
      <c r="Q44" s="153" t="s">
        <v>865</v>
      </c>
    </row>
    <row r="45" ht="28.5" customHeight="1">
      <c r="A45" s="91">
        <v>39.0</v>
      </c>
      <c r="B45" s="335" t="s">
        <v>199</v>
      </c>
      <c r="C45" s="367" t="s">
        <v>200</v>
      </c>
      <c r="D45" s="158" t="s">
        <v>118</v>
      </c>
      <c r="E45" s="158" t="s">
        <v>119</v>
      </c>
      <c r="F45" s="313">
        <v>45294.0</v>
      </c>
      <c r="G45" s="135" t="s">
        <v>105</v>
      </c>
      <c r="H45" s="315">
        <v>45294.0</v>
      </c>
      <c r="I45" s="129"/>
      <c r="J45" s="143"/>
      <c r="K45" s="143"/>
      <c r="L45" s="335" t="s">
        <v>690</v>
      </c>
      <c r="M45" s="158" t="s">
        <v>225</v>
      </c>
      <c r="N45" s="312" t="s">
        <v>917</v>
      </c>
      <c r="O45" s="162" t="s">
        <v>918</v>
      </c>
      <c r="P45" s="17" t="s">
        <v>86</v>
      </c>
      <c r="Q45" s="153" t="s">
        <v>336</v>
      </c>
    </row>
    <row r="46" ht="28.5" customHeight="1">
      <c r="A46" s="91">
        <v>40.0</v>
      </c>
      <c r="B46" s="335" t="s">
        <v>201</v>
      </c>
      <c r="C46" s="367" t="s">
        <v>202</v>
      </c>
      <c r="D46" s="158" t="s">
        <v>118</v>
      </c>
      <c r="E46" s="158" t="s">
        <v>119</v>
      </c>
      <c r="F46" s="313">
        <v>45294.0</v>
      </c>
      <c r="G46" s="135" t="s">
        <v>105</v>
      </c>
      <c r="H46" s="315">
        <v>45294.0</v>
      </c>
      <c r="I46" s="129"/>
      <c r="J46" s="143"/>
      <c r="K46" s="143"/>
      <c r="L46" s="335" t="s">
        <v>690</v>
      </c>
      <c r="M46" s="158" t="s">
        <v>225</v>
      </c>
      <c r="N46" s="312" t="s">
        <v>917</v>
      </c>
      <c r="O46" s="162" t="s">
        <v>921</v>
      </c>
      <c r="P46" s="17" t="s">
        <v>86</v>
      </c>
      <c r="Q46" s="153" t="s">
        <v>922</v>
      </c>
    </row>
    <row r="47" ht="28.5" customHeight="1">
      <c r="A47" s="125">
        <v>41.0</v>
      </c>
      <c r="B47" s="335" t="s">
        <v>203</v>
      </c>
      <c r="C47" s="367" t="s">
        <v>204</v>
      </c>
      <c r="D47" s="158" t="s">
        <v>118</v>
      </c>
      <c r="E47" s="158" t="s">
        <v>119</v>
      </c>
      <c r="F47" s="313">
        <v>45660.0</v>
      </c>
      <c r="G47" s="155" t="s">
        <v>168</v>
      </c>
      <c r="H47" s="315">
        <v>45660.0</v>
      </c>
      <c r="I47" s="129"/>
      <c r="J47" s="143"/>
      <c r="K47" s="143"/>
      <c r="L47" s="335" t="s">
        <v>932</v>
      </c>
      <c r="M47" s="158" t="s">
        <v>225</v>
      </c>
      <c r="N47" s="312" t="s">
        <v>934</v>
      </c>
      <c r="O47" s="162" t="s">
        <v>935</v>
      </c>
      <c r="P47" s="17" t="s">
        <v>86</v>
      </c>
      <c r="Q47" s="153" t="s">
        <v>938</v>
      </c>
    </row>
    <row r="48" ht="28.5" customHeight="1">
      <c r="A48" s="91">
        <v>42.0</v>
      </c>
      <c r="B48" s="335" t="s">
        <v>206</v>
      </c>
      <c r="C48" s="367" t="s">
        <v>208</v>
      </c>
      <c r="D48" s="158" t="s">
        <v>153</v>
      </c>
      <c r="E48" s="129"/>
      <c r="F48" s="414"/>
      <c r="G48" s="135" t="s">
        <v>105</v>
      </c>
      <c r="H48" s="330"/>
      <c r="I48" s="129"/>
      <c r="J48" s="143"/>
      <c r="K48" s="143"/>
      <c r="L48" s="417"/>
      <c r="M48" s="158" t="s">
        <v>225</v>
      </c>
      <c r="N48" s="312" t="s">
        <v>917</v>
      </c>
      <c r="O48" s="162" t="s">
        <v>941</v>
      </c>
      <c r="P48" s="17" t="s">
        <v>86</v>
      </c>
      <c r="Q48" s="153" t="s">
        <v>942</v>
      </c>
    </row>
    <row r="49" ht="28.5" customHeight="1">
      <c r="A49" s="91">
        <v>43.0</v>
      </c>
      <c r="B49" s="335" t="s">
        <v>209</v>
      </c>
      <c r="C49" s="367" t="s">
        <v>210</v>
      </c>
      <c r="D49" s="158" t="s">
        <v>153</v>
      </c>
      <c r="E49" s="129"/>
      <c r="F49" s="414"/>
      <c r="G49" s="312" t="s">
        <v>120</v>
      </c>
      <c r="H49" s="330"/>
      <c r="I49" s="129"/>
      <c r="J49" s="143"/>
      <c r="K49" s="143"/>
      <c r="L49" s="417"/>
      <c r="M49" s="158" t="s">
        <v>225</v>
      </c>
      <c r="N49" s="312" t="s">
        <v>855</v>
      </c>
      <c r="O49" s="162" t="s">
        <v>946</v>
      </c>
      <c r="P49" s="17" t="s">
        <v>86</v>
      </c>
      <c r="Q49" s="153" t="s">
        <v>947</v>
      </c>
    </row>
    <row r="50" ht="28.5" customHeight="1">
      <c r="A50" s="125">
        <v>44.0</v>
      </c>
      <c r="B50" s="335" t="s">
        <v>211</v>
      </c>
      <c r="C50" s="367" t="s">
        <v>212</v>
      </c>
      <c r="D50" s="158" t="s">
        <v>153</v>
      </c>
      <c r="E50" s="129"/>
      <c r="F50" s="414"/>
      <c r="G50" s="312" t="s">
        <v>120</v>
      </c>
      <c r="H50" s="330"/>
      <c r="I50" s="129"/>
      <c r="J50" s="143"/>
      <c r="K50" s="143"/>
      <c r="L50" s="417"/>
      <c r="M50" s="158" t="s">
        <v>225</v>
      </c>
      <c r="N50" s="312" t="s">
        <v>948</v>
      </c>
      <c r="O50" s="162" t="s">
        <v>949</v>
      </c>
      <c r="P50" s="17" t="s">
        <v>86</v>
      </c>
      <c r="Q50" s="153" t="s">
        <v>950</v>
      </c>
    </row>
    <row r="51" ht="28.5" customHeight="1">
      <c r="A51" s="91">
        <v>45.0</v>
      </c>
      <c r="B51" s="423" t="s">
        <v>951</v>
      </c>
      <c r="C51" s="367" t="s">
        <v>231</v>
      </c>
      <c r="D51" s="158" t="s">
        <v>118</v>
      </c>
      <c r="E51" s="158" t="s">
        <v>119</v>
      </c>
      <c r="F51" s="313">
        <v>45666.0</v>
      </c>
      <c r="G51" s="312" t="s">
        <v>120</v>
      </c>
      <c r="H51" s="315">
        <v>45666.0</v>
      </c>
      <c r="I51" s="129"/>
      <c r="J51" s="143"/>
      <c r="K51" s="143"/>
      <c r="L51" s="335" t="s">
        <v>952</v>
      </c>
      <c r="M51" s="158" t="s">
        <v>225</v>
      </c>
      <c r="N51" s="312" t="s">
        <v>855</v>
      </c>
      <c r="O51" s="162" t="s">
        <v>953</v>
      </c>
      <c r="P51" s="17" t="s">
        <v>86</v>
      </c>
      <c r="Q51" s="153" t="s">
        <v>954</v>
      </c>
    </row>
    <row r="52" ht="28.5" customHeight="1">
      <c r="A52" s="91">
        <v>46.0</v>
      </c>
      <c r="B52" s="424" t="s">
        <v>232</v>
      </c>
      <c r="C52" s="425" t="s">
        <v>235</v>
      </c>
      <c r="D52" s="158" t="s">
        <v>153</v>
      </c>
      <c r="E52" s="426"/>
      <c r="F52" s="427"/>
      <c r="G52" s="312" t="s">
        <v>237</v>
      </c>
      <c r="H52" s="428"/>
      <c r="I52" s="426"/>
      <c r="J52" s="429"/>
      <c r="K52" s="429"/>
      <c r="L52" s="428"/>
      <c r="M52" s="426"/>
      <c r="N52" s="428"/>
      <c r="O52" s="430" t="s">
        <v>955</v>
      </c>
      <c r="P52" s="17" t="s">
        <v>86</v>
      </c>
      <c r="Q52" s="431" t="s">
        <v>232</v>
      </c>
      <c r="R52" s="101"/>
      <c r="S52" s="68"/>
      <c r="T52" s="68"/>
      <c r="U52" s="68"/>
      <c r="V52" s="68"/>
      <c r="W52" s="68"/>
      <c r="X52" s="68"/>
      <c r="Y52" s="68"/>
      <c r="Z52" s="68"/>
    </row>
    <row r="53" ht="28.5" customHeight="1">
      <c r="A53" s="125">
        <v>47.0</v>
      </c>
      <c r="B53" s="424" t="s">
        <v>240</v>
      </c>
      <c r="C53" s="425" t="s">
        <v>241</v>
      </c>
      <c r="D53" s="158" t="s">
        <v>153</v>
      </c>
      <c r="E53" s="426"/>
      <c r="F53" s="427"/>
      <c r="G53" s="312" t="s">
        <v>242</v>
      </c>
      <c r="H53" s="428"/>
      <c r="I53" s="426"/>
      <c r="J53" s="429"/>
      <c r="K53" s="429"/>
      <c r="L53" s="428"/>
      <c r="M53" s="426"/>
      <c r="N53" s="428"/>
      <c r="O53" s="428"/>
      <c r="P53" s="17" t="s">
        <v>86</v>
      </c>
      <c r="Q53" s="431" t="s">
        <v>956</v>
      </c>
      <c r="R53" s="101"/>
      <c r="S53" s="68"/>
      <c r="T53" s="68"/>
      <c r="U53" s="68"/>
      <c r="V53" s="68"/>
      <c r="W53" s="68"/>
      <c r="X53" s="68"/>
      <c r="Y53" s="68"/>
      <c r="Z53" s="68"/>
    </row>
    <row r="54" ht="28.5" customHeight="1">
      <c r="A54" s="91">
        <v>48.0</v>
      </c>
      <c r="B54" s="424" t="s">
        <v>243</v>
      </c>
      <c r="C54" s="425" t="s">
        <v>244</v>
      </c>
      <c r="D54" s="158" t="s">
        <v>153</v>
      </c>
      <c r="E54" s="426"/>
      <c r="F54" s="427"/>
      <c r="G54" s="135" t="s">
        <v>105</v>
      </c>
      <c r="H54" s="428"/>
      <c r="I54" s="426"/>
      <c r="J54" s="429"/>
      <c r="K54" s="429"/>
      <c r="L54" s="428"/>
      <c r="M54" s="426"/>
      <c r="N54" s="428"/>
      <c r="O54" s="428"/>
      <c r="P54" s="17" t="s">
        <v>86</v>
      </c>
      <c r="Q54" s="431" t="s">
        <v>243</v>
      </c>
      <c r="R54" s="101"/>
      <c r="S54" s="68"/>
      <c r="T54" s="68"/>
      <c r="U54" s="68"/>
      <c r="V54" s="68"/>
      <c r="W54" s="68"/>
      <c r="X54" s="68"/>
      <c r="Y54" s="68"/>
      <c r="Z54" s="68"/>
    </row>
    <row r="55" ht="16.5" customHeight="1">
      <c r="A55" s="5"/>
      <c r="B55" s="5"/>
      <c r="C55" s="108"/>
      <c r="D55" s="5"/>
      <c r="E55" s="5"/>
      <c r="F55" s="5"/>
      <c r="G55" s="68"/>
      <c r="H55" s="5"/>
      <c r="I55" s="5"/>
      <c r="J55" s="5"/>
      <c r="K55" s="5"/>
      <c r="L55" s="5"/>
      <c r="M55" s="5"/>
      <c r="N55" s="5"/>
      <c r="O55" s="5"/>
      <c r="P55" s="5"/>
      <c r="Q55" s="71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E56" s="146" t="s">
        <v>302</v>
      </c>
      <c r="N56" s="444" t="s">
        <v>999</v>
      </c>
      <c r="R56" s="32"/>
      <c r="S56" s="5"/>
      <c r="T56" s="5"/>
      <c r="U56" s="5"/>
      <c r="V56" s="5"/>
      <c r="W56" s="5"/>
      <c r="X56" s="5"/>
      <c r="Y56" s="5"/>
      <c r="Z56" s="5"/>
    </row>
    <row r="57" ht="15.75" customHeight="1">
      <c r="E57" s="146" t="s">
        <v>304</v>
      </c>
      <c r="N57" s="146" t="s">
        <v>305</v>
      </c>
    </row>
    <row r="58" ht="15.75" customHeight="1">
      <c r="E58" s="148"/>
      <c r="F58" s="149"/>
      <c r="G58" s="148"/>
      <c r="N58" s="148"/>
      <c r="O58" s="148"/>
      <c r="P58" s="148"/>
      <c r="Q58" s="445"/>
    </row>
    <row r="59" ht="15.75" customHeight="1">
      <c r="E59" s="148"/>
      <c r="F59" s="149"/>
      <c r="G59" s="148"/>
      <c r="N59" s="148"/>
      <c r="O59" s="148"/>
      <c r="P59" s="148"/>
      <c r="Q59" s="445"/>
    </row>
    <row r="60" ht="15.75" customHeight="1">
      <c r="E60" s="148"/>
      <c r="F60" s="149"/>
      <c r="G60" s="148"/>
      <c r="N60" s="148"/>
      <c r="O60" s="148"/>
      <c r="P60" s="148"/>
      <c r="Q60" s="445"/>
    </row>
    <row r="61" ht="15.75" customHeight="1">
      <c r="E61" s="151" t="s">
        <v>307</v>
      </c>
      <c r="N61" s="151" t="s">
        <v>39</v>
      </c>
    </row>
    <row r="62" ht="15.75" customHeight="1">
      <c r="E62" s="152" t="s">
        <v>308</v>
      </c>
      <c r="N62" s="146" t="s">
        <v>309</v>
      </c>
    </row>
    <row r="63" ht="15.75" customHeight="1">
      <c r="F63" s="108"/>
      <c r="Q63" s="446"/>
    </row>
    <row r="64" ht="15.75" customHeight="1">
      <c r="F64" s="108"/>
      <c r="Q64" s="446"/>
    </row>
    <row r="65" ht="15.75" customHeight="1">
      <c r="E65" s="447" t="s">
        <v>13</v>
      </c>
      <c r="F65" s="449" t="s">
        <v>1036</v>
      </c>
      <c r="Q65" s="446"/>
    </row>
    <row r="66" ht="15.75" customHeight="1">
      <c r="E66" s="447" t="s">
        <v>119</v>
      </c>
      <c r="F66" s="449">
        <f>COUNTIFS(E8:E55,"PPPK")</f>
        <v>10</v>
      </c>
      <c r="Q66" s="446"/>
    </row>
    <row r="67" ht="15.75" customHeight="1">
      <c r="E67" s="447" t="s">
        <v>129</v>
      </c>
      <c r="F67" s="449">
        <f>COUNTIFS(E9:E55,"PPPK-PW")</f>
        <v>9</v>
      </c>
      <c r="Q67" s="446"/>
    </row>
    <row r="68" ht="15.75" customHeight="1">
      <c r="E68" s="447" t="s">
        <v>153</v>
      </c>
      <c r="F68" s="449">
        <f>COUNTIFS(D10:D55,"KONTRAK")</f>
        <v>9</v>
      </c>
      <c r="Q68" s="446"/>
    </row>
    <row r="69" ht="15.75" customHeight="1">
      <c r="E69" s="447" t="s">
        <v>1039</v>
      </c>
      <c r="F69" s="449" t="s">
        <v>1040</v>
      </c>
      <c r="Q69" s="446"/>
    </row>
    <row r="70" ht="15.75" customHeight="1">
      <c r="C70" s="108"/>
      <c r="G70" s="113"/>
      <c r="Q70" s="446"/>
    </row>
    <row r="71" ht="15.75" customHeight="1">
      <c r="C71" s="108"/>
      <c r="G71" s="113"/>
      <c r="Q71" s="446"/>
    </row>
    <row r="72" ht="15.75" customHeight="1">
      <c r="C72" s="108"/>
      <c r="G72" s="113"/>
      <c r="Q72" s="446"/>
    </row>
    <row r="73" ht="15.75" customHeight="1">
      <c r="C73" s="108"/>
      <c r="G73" s="113"/>
      <c r="Q73" s="446"/>
    </row>
    <row r="74" ht="15.75" customHeight="1">
      <c r="C74" s="108"/>
      <c r="G74" s="113"/>
      <c r="Q74" s="446"/>
    </row>
    <row r="75" ht="15.75" customHeight="1">
      <c r="C75" s="108"/>
      <c r="G75" s="113"/>
      <c r="Q75" s="446"/>
    </row>
    <row r="76" ht="15.75" customHeight="1">
      <c r="C76" s="108"/>
      <c r="G76" s="113"/>
      <c r="Q76" s="446"/>
    </row>
    <row r="77" ht="15.75" customHeight="1">
      <c r="C77" s="108"/>
      <c r="G77" s="113"/>
      <c r="Q77" s="446"/>
    </row>
    <row r="78" ht="15.75" customHeight="1">
      <c r="C78" s="108"/>
      <c r="G78" s="113"/>
      <c r="Q78" s="446"/>
    </row>
    <row r="79" ht="15.75" customHeight="1">
      <c r="C79" s="108"/>
      <c r="G79" s="113"/>
      <c r="Q79" s="446"/>
    </row>
    <row r="80" ht="15.75" customHeight="1">
      <c r="C80" s="108"/>
      <c r="G80" s="113"/>
      <c r="Q80" s="446"/>
    </row>
    <row r="81" ht="15.75" customHeight="1">
      <c r="C81" s="108"/>
      <c r="G81" s="113"/>
      <c r="Q81" s="446"/>
    </row>
    <row r="82" ht="15.75" customHeight="1">
      <c r="C82" s="108"/>
      <c r="G82" s="113"/>
      <c r="Q82" s="446"/>
    </row>
    <row r="83" ht="15.75" customHeight="1">
      <c r="C83" s="108"/>
      <c r="G83" s="113"/>
      <c r="Q83" s="446"/>
    </row>
    <row r="84" ht="15.75" customHeight="1">
      <c r="C84" s="108"/>
      <c r="G84" s="113"/>
      <c r="Q84" s="446"/>
    </row>
    <row r="85" ht="15.75" customHeight="1">
      <c r="C85" s="108"/>
      <c r="G85" s="113"/>
      <c r="Q85" s="446"/>
    </row>
    <row r="86" ht="15.75" customHeight="1">
      <c r="C86" s="108"/>
      <c r="G86" s="113"/>
      <c r="Q86" s="446"/>
    </row>
    <row r="87" ht="15.75" customHeight="1">
      <c r="C87" s="108"/>
      <c r="G87" s="113"/>
      <c r="Q87" s="446"/>
    </row>
    <row r="88" ht="15.75" customHeight="1">
      <c r="C88" s="108"/>
      <c r="G88" s="113"/>
      <c r="Q88" s="446"/>
    </row>
    <row r="89" ht="15.75" customHeight="1">
      <c r="C89" s="108"/>
      <c r="G89" s="113"/>
      <c r="Q89" s="446"/>
    </row>
    <row r="90" ht="15.75" customHeight="1">
      <c r="C90" s="108"/>
      <c r="G90" s="113"/>
      <c r="Q90" s="446"/>
    </row>
    <row r="91" ht="15.75" customHeight="1">
      <c r="C91" s="108"/>
      <c r="G91" s="113"/>
      <c r="Q91" s="446"/>
    </row>
    <row r="92" ht="15.75" customHeight="1">
      <c r="C92" s="108"/>
      <c r="G92" s="113"/>
      <c r="Q92" s="446"/>
    </row>
    <row r="93" ht="15.75" customHeight="1">
      <c r="C93" s="108"/>
      <c r="G93" s="113"/>
      <c r="Q93" s="446"/>
    </row>
    <row r="94" ht="15.75" customHeight="1">
      <c r="C94" s="108"/>
      <c r="G94" s="113"/>
      <c r="Q94" s="446"/>
    </row>
    <row r="95" ht="15.75" customHeight="1">
      <c r="C95" s="108"/>
      <c r="G95" s="113"/>
      <c r="Q95" s="446"/>
    </row>
    <row r="96" ht="15.75" customHeight="1">
      <c r="C96" s="108"/>
      <c r="G96" s="113"/>
      <c r="Q96" s="446"/>
    </row>
    <row r="97" ht="15.75" customHeight="1">
      <c r="C97" s="108"/>
      <c r="G97" s="113"/>
      <c r="Q97" s="446"/>
    </row>
    <row r="98" ht="15.75" customHeight="1">
      <c r="C98" s="108"/>
      <c r="G98" s="113"/>
      <c r="Q98" s="446"/>
    </row>
    <row r="99" ht="15.75" customHeight="1">
      <c r="C99" s="108"/>
      <c r="G99" s="113"/>
      <c r="Q99" s="446"/>
    </row>
    <row r="100" ht="15.75" customHeight="1">
      <c r="C100" s="108"/>
      <c r="G100" s="113"/>
      <c r="Q100" s="446"/>
    </row>
    <row r="101" ht="15.75" customHeight="1">
      <c r="C101" s="108"/>
      <c r="G101" s="113"/>
      <c r="Q101" s="446"/>
    </row>
    <row r="102" ht="15.75" customHeight="1">
      <c r="C102" s="108"/>
      <c r="G102" s="113"/>
      <c r="Q102" s="446"/>
    </row>
    <row r="103" ht="15.75" customHeight="1">
      <c r="C103" s="108"/>
      <c r="G103" s="113"/>
      <c r="Q103" s="446"/>
    </row>
    <row r="104" ht="15.75" customHeight="1">
      <c r="C104" s="108"/>
      <c r="G104" s="113"/>
      <c r="Q104" s="446"/>
    </row>
    <row r="105" ht="15.75" customHeight="1">
      <c r="C105" s="108"/>
      <c r="G105" s="113"/>
      <c r="Q105" s="446"/>
    </row>
    <row r="106" ht="15.75" customHeight="1">
      <c r="C106" s="108"/>
      <c r="G106" s="113"/>
      <c r="Q106" s="446"/>
    </row>
    <row r="107" ht="15.75" customHeight="1">
      <c r="C107" s="108"/>
      <c r="G107" s="113"/>
      <c r="Q107" s="446"/>
    </row>
    <row r="108" ht="15.75" customHeight="1">
      <c r="C108" s="108"/>
      <c r="G108" s="113"/>
      <c r="Q108" s="446"/>
    </row>
    <row r="109" ht="15.75" customHeight="1">
      <c r="C109" s="108"/>
      <c r="G109" s="113"/>
      <c r="Q109" s="446"/>
    </row>
    <row r="110" ht="15.75" customHeight="1">
      <c r="C110" s="108"/>
      <c r="G110" s="113"/>
      <c r="Q110" s="446"/>
    </row>
    <row r="111" ht="15.75" customHeight="1">
      <c r="C111" s="108"/>
      <c r="G111" s="113"/>
      <c r="Q111" s="446"/>
    </row>
    <row r="112" ht="15.75" customHeight="1">
      <c r="C112" s="108"/>
      <c r="G112" s="113"/>
      <c r="Q112" s="446"/>
    </row>
    <row r="113" ht="15.75" customHeight="1">
      <c r="C113" s="108"/>
      <c r="G113" s="113"/>
      <c r="Q113" s="446"/>
    </row>
    <row r="114" ht="15.75" customHeight="1">
      <c r="C114" s="108"/>
      <c r="G114" s="113"/>
      <c r="Q114" s="446"/>
    </row>
    <row r="115" ht="15.75" customHeight="1">
      <c r="C115" s="108"/>
      <c r="G115" s="113"/>
      <c r="Q115" s="446"/>
    </row>
    <row r="116" ht="15.75" customHeight="1">
      <c r="C116" s="108"/>
      <c r="G116" s="113"/>
      <c r="Q116" s="446"/>
    </row>
    <row r="117" ht="15.75" customHeight="1">
      <c r="C117" s="108"/>
      <c r="G117" s="113"/>
      <c r="Q117" s="446"/>
    </row>
    <row r="118" ht="15.75" customHeight="1">
      <c r="C118" s="108"/>
      <c r="G118" s="113"/>
      <c r="Q118" s="446"/>
    </row>
    <row r="119" ht="15.75" customHeight="1">
      <c r="C119" s="108"/>
      <c r="G119" s="113"/>
      <c r="Q119" s="446"/>
    </row>
    <row r="120" ht="15.75" customHeight="1">
      <c r="C120" s="108"/>
      <c r="G120" s="113"/>
      <c r="Q120" s="446"/>
    </row>
    <row r="121" ht="15.75" customHeight="1">
      <c r="C121" s="108"/>
      <c r="G121" s="113"/>
      <c r="Q121" s="446"/>
    </row>
    <row r="122" ht="15.75" customHeight="1">
      <c r="C122" s="108"/>
      <c r="G122" s="113"/>
      <c r="Q122" s="446"/>
    </row>
    <row r="123" ht="15.75" customHeight="1">
      <c r="C123" s="108"/>
      <c r="G123" s="113"/>
      <c r="Q123" s="446"/>
    </row>
    <row r="124" ht="15.75" customHeight="1">
      <c r="C124" s="108"/>
      <c r="G124" s="113"/>
      <c r="Q124" s="446"/>
    </row>
    <row r="125" ht="15.75" customHeight="1">
      <c r="C125" s="108"/>
      <c r="G125" s="113"/>
      <c r="Q125" s="446"/>
    </row>
    <row r="126" ht="15.75" customHeight="1">
      <c r="C126" s="108"/>
      <c r="G126" s="113"/>
      <c r="Q126" s="446"/>
    </row>
    <row r="127" ht="15.75" customHeight="1">
      <c r="C127" s="108"/>
      <c r="G127" s="113"/>
      <c r="Q127" s="446"/>
    </row>
    <row r="128" ht="15.75" customHeight="1">
      <c r="C128" s="108"/>
      <c r="G128" s="113"/>
      <c r="Q128" s="446"/>
    </row>
    <row r="129" ht="15.75" customHeight="1">
      <c r="C129" s="108"/>
      <c r="G129" s="113"/>
      <c r="Q129" s="446"/>
    </row>
    <row r="130" ht="15.75" customHeight="1">
      <c r="C130" s="108"/>
      <c r="G130" s="113"/>
      <c r="Q130" s="446"/>
    </row>
    <row r="131" ht="15.75" customHeight="1">
      <c r="C131" s="108"/>
      <c r="G131" s="113"/>
      <c r="Q131" s="446"/>
    </row>
    <row r="132" ht="15.75" customHeight="1">
      <c r="C132" s="108"/>
      <c r="G132" s="113"/>
      <c r="Q132" s="446"/>
    </row>
    <row r="133" ht="15.75" customHeight="1">
      <c r="C133" s="108"/>
      <c r="G133" s="113"/>
      <c r="Q133" s="446"/>
    </row>
    <row r="134" ht="15.75" customHeight="1">
      <c r="C134" s="108"/>
      <c r="G134" s="113"/>
      <c r="Q134" s="446"/>
    </row>
    <row r="135" ht="15.75" customHeight="1">
      <c r="C135" s="108"/>
      <c r="G135" s="113"/>
      <c r="Q135" s="446"/>
    </row>
    <row r="136" ht="15.75" customHeight="1">
      <c r="C136" s="108"/>
      <c r="G136" s="113"/>
      <c r="Q136" s="446"/>
    </row>
    <row r="137" ht="15.75" customHeight="1">
      <c r="C137" s="108"/>
      <c r="G137" s="113"/>
      <c r="Q137" s="446"/>
    </row>
    <row r="138" ht="15.75" customHeight="1">
      <c r="C138" s="108"/>
      <c r="G138" s="113"/>
      <c r="Q138" s="446"/>
    </row>
    <row r="139" ht="15.75" customHeight="1">
      <c r="C139" s="108"/>
      <c r="G139" s="113"/>
      <c r="Q139" s="446"/>
    </row>
    <row r="140" ht="15.75" customHeight="1">
      <c r="C140" s="108"/>
      <c r="G140" s="113"/>
      <c r="Q140" s="446"/>
    </row>
    <row r="141" ht="15.75" customHeight="1">
      <c r="C141" s="108"/>
      <c r="G141" s="113"/>
      <c r="Q141" s="446"/>
    </row>
    <row r="142" ht="15.75" customHeight="1">
      <c r="C142" s="108"/>
      <c r="G142" s="113"/>
      <c r="Q142" s="446"/>
    </row>
    <row r="143" ht="15.75" customHeight="1">
      <c r="C143" s="108"/>
      <c r="G143" s="113"/>
      <c r="Q143" s="446"/>
    </row>
    <row r="144" ht="15.75" customHeight="1">
      <c r="C144" s="108"/>
      <c r="G144" s="113"/>
      <c r="Q144" s="446"/>
    </row>
    <row r="145" ht="15.75" customHeight="1">
      <c r="C145" s="108"/>
      <c r="G145" s="113"/>
      <c r="Q145" s="446"/>
    </row>
    <row r="146" ht="15.75" customHeight="1">
      <c r="C146" s="108"/>
      <c r="G146" s="113"/>
      <c r="Q146" s="446"/>
    </row>
    <row r="147" ht="15.75" customHeight="1">
      <c r="C147" s="108"/>
      <c r="G147" s="113"/>
      <c r="Q147" s="446"/>
    </row>
    <row r="148" ht="15.75" customHeight="1">
      <c r="C148" s="108"/>
      <c r="G148" s="113"/>
      <c r="Q148" s="446"/>
    </row>
    <row r="149" ht="15.75" customHeight="1">
      <c r="C149" s="108"/>
      <c r="G149" s="113"/>
      <c r="Q149" s="446"/>
    </row>
    <row r="150" ht="15.75" customHeight="1">
      <c r="C150" s="108"/>
      <c r="G150" s="113"/>
      <c r="Q150" s="446"/>
    </row>
    <row r="151" ht="15.75" customHeight="1">
      <c r="C151" s="108"/>
      <c r="G151" s="113"/>
      <c r="Q151" s="446"/>
    </row>
    <row r="152" ht="15.75" customHeight="1">
      <c r="C152" s="108"/>
      <c r="G152" s="113"/>
      <c r="Q152" s="446"/>
    </row>
    <row r="153" ht="15.75" customHeight="1">
      <c r="C153" s="108"/>
      <c r="G153" s="113"/>
      <c r="Q153" s="446"/>
    </row>
    <row r="154" ht="15.75" customHeight="1">
      <c r="C154" s="108"/>
      <c r="G154" s="113"/>
      <c r="Q154" s="446"/>
    </row>
    <row r="155" ht="15.75" customHeight="1">
      <c r="C155" s="108"/>
      <c r="G155" s="113"/>
      <c r="Q155" s="446"/>
    </row>
    <row r="156" ht="15.75" customHeight="1">
      <c r="C156" s="108"/>
      <c r="G156" s="113"/>
      <c r="Q156" s="446"/>
    </row>
    <row r="157" ht="15.75" customHeight="1">
      <c r="C157" s="108"/>
      <c r="G157" s="113"/>
      <c r="Q157" s="446"/>
    </row>
    <row r="158" ht="15.75" customHeight="1">
      <c r="C158" s="108"/>
      <c r="G158" s="113"/>
      <c r="Q158" s="446"/>
    </row>
    <row r="159" ht="15.75" customHeight="1">
      <c r="C159" s="108"/>
      <c r="G159" s="113"/>
      <c r="Q159" s="446"/>
    </row>
    <row r="160" ht="15.75" customHeight="1">
      <c r="C160" s="108"/>
      <c r="G160" s="113"/>
      <c r="Q160" s="446"/>
    </row>
    <row r="161" ht="15.75" customHeight="1">
      <c r="C161" s="108"/>
      <c r="G161" s="113"/>
      <c r="Q161" s="446"/>
    </row>
    <row r="162" ht="15.75" customHeight="1">
      <c r="C162" s="108"/>
      <c r="G162" s="113"/>
      <c r="Q162" s="446"/>
    </row>
    <row r="163" ht="15.75" customHeight="1">
      <c r="C163" s="108"/>
      <c r="G163" s="113"/>
      <c r="Q163" s="446"/>
    </row>
    <row r="164" ht="15.75" customHeight="1">
      <c r="C164" s="108"/>
      <c r="G164" s="113"/>
      <c r="Q164" s="446"/>
    </row>
    <row r="165" ht="15.75" customHeight="1">
      <c r="C165" s="108"/>
      <c r="G165" s="113"/>
      <c r="Q165" s="446"/>
    </row>
    <row r="166" ht="15.75" customHeight="1">
      <c r="C166" s="108"/>
      <c r="G166" s="113"/>
      <c r="Q166" s="446"/>
    </row>
    <row r="167" ht="15.75" customHeight="1">
      <c r="C167" s="108"/>
      <c r="G167" s="113"/>
      <c r="Q167" s="446"/>
    </row>
    <row r="168" ht="15.75" customHeight="1">
      <c r="C168" s="108"/>
      <c r="G168" s="113"/>
      <c r="Q168" s="446"/>
    </row>
    <row r="169" ht="15.75" customHeight="1">
      <c r="C169" s="108"/>
      <c r="G169" s="113"/>
      <c r="Q169" s="446"/>
    </row>
    <row r="170" ht="15.75" customHeight="1">
      <c r="C170" s="108"/>
      <c r="G170" s="113"/>
      <c r="Q170" s="446"/>
    </row>
    <row r="171" ht="15.75" customHeight="1">
      <c r="C171" s="108"/>
      <c r="G171" s="113"/>
      <c r="Q171" s="446"/>
    </row>
    <row r="172" ht="15.75" customHeight="1">
      <c r="C172" s="108"/>
      <c r="G172" s="113"/>
      <c r="Q172" s="446"/>
    </row>
    <row r="173" ht="15.75" customHeight="1">
      <c r="C173" s="108"/>
      <c r="G173" s="113"/>
      <c r="Q173" s="446"/>
    </row>
    <row r="174" ht="15.75" customHeight="1">
      <c r="C174" s="108"/>
      <c r="G174" s="113"/>
      <c r="Q174" s="446"/>
    </row>
    <row r="175" ht="15.75" customHeight="1">
      <c r="C175" s="108"/>
      <c r="G175" s="113"/>
      <c r="Q175" s="446"/>
    </row>
    <row r="176" ht="15.75" customHeight="1">
      <c r="C176" s="108"/>
      <c r="G176" s="113"/>
      <c r="Q176" s="446"/>
    </row>
    <row r="177" ht="15.75" customHeight="1">
      <c r="C177" s="108"/>
      <c r="G177" s="113"/>
      <c r="Q177" s="446"/>
    </row>
    <row r="178" ht="15.75" customHeight="1">
      <c r="C178" s="108"/>
      <c r="G178" s="113"/>
      <c r="Q178" s="446"/>
    </row>
    <row r="179" ht="15.75" customHeight="1">
      <c r="C179" s="108"/>
      <c r="G179" s="113"/>
      <c r="Q179" s="446"/>
    </row>
    <row r="180" ht="15.75" customHeight="1">
      <c r="C180" s="108"/>
      <c r="G180" s="113"/>
      <c r="Q180" s="446"/>
    </row>
    <row r="181" ht="15.75" customHeight="1">
      <c r="C181" s="108"/>
      <c r="G181" s="113"/>
      <c r="Q181" s="446"/>
    </row>
    <row r="182" ht="15.75" customHeight="1">
      <c r="C182" s="108"/>
      <c r="G182" s="113"/>
      <c r="Q182" s="446"/>
    </row>
    <row r="183" ht="15.75" customHeight="1">
      <c r="C183" s="108"/>
      <c r="G183" s="113"/>
      <c r="Q183" s="446"/>
    </row>
    <row r="184" ht="15.75" customHeight="1">
      <c r="C184" s="108"/>
      <c r="G184" s="113"/>
      <c r="Q184" s="446"/>
    </row>
    <row r="185" ht="15.75" customHeight="1">
      <c r="C185" s="108"/>
      <c r="G185" s="113"/>
      <c r="Q185" s="446"/>
    </row>
    <row r="186" ht="15.75" customHeight="1">
      <c r="C186" s="108"/>
      <c r="G186" s="113"/>
      <c r="Q186" s="446"/>
    </row>
    <row r="187" ht="15.75" customHeight="1">
      <c r="C187" s="108"/>
      <c r="G187" s="113"/>
      <c r="Q187" s="446"/>
    </row>
    <row r="188" ht="15.75" customHeight="1">
      <c r="C188" s="108"/>
      <c r="G188" s="113"/>
      <c r="Q188" s="446"/>
    </row>
    <row r="189" ht="15.75" customHeight="1">
      <c r="C189" s="108"/>
      <c r="G189" s="113"/>
      <c r="Q189" s="446"/>
    </row>
    <row r="190" ht="15.75" customHeight="1">
      <c r="C190" s="108"/>
      <c r="G190" s="113"/>
      <c r="Q190" s="446"/>
    </row>
    <row r="191" ht="15.75" customHeight="1">
      <c r="C191" s="108"/>
      <c r="G191" s="113"/>
      <c r="Q191" s="446"/>
    </row>
    <row r="192" ht="15.75" customHeight="1">
      <c r="C192" s="108"/>
      <c r="G192" s="113"/>
      <c r="Q192" s="446"/>
    </row>
    <row r="193" ht="15.75" customHeight="1">
      <c r="C193" s="108"/>
      <c r="G193" s="113"/>
      <c r="Q193" s="446"/>
    </row>
    <row r="194" ht="15.75" customHeight="1">
      <c r="C194" s="108"/>
      <c r="G194" s="113"/>
      <c r="Q194" s="446"/>
    </row>
    <row r="195" ht="15.75" customHeight="1">
      <c r="C195" s="108"/>
      <c r="G195" s="113"/>
      <c r="Q195" s="446"/>
    </row>
    <row r="196" ht="15.75" customHeight="1">
      <c r="C196" s="108"/>
      <c r="G196" s="113"/>
      <c r="Q196" s="446"/>
    </row>
    <row r="197" ht="15.75" customHeight="1">
      <c r="C197" s="108"/>
      <c r="G197" s="113"/>
      <c r="Q197" s="446"/>
    </row>
    <row r="198" ht="15.75" customHeight="1">
      <c r="C198" s="108"/>
      <c r="G198" s="113"/>
      <c r="Q198" s="446"/>
    </row>
    <row r="199" ht="15.75" customHeight="1">
      <c r="C199" s="108"/>
      <c r="G199" s="113"/>
      <c r="Q199" s="446"/>
    </row>
    <row r="200" ht="15.75" customHeight="1">
      <c r="C200" s="108"/>
      <c r="G200" s="113"/>
      <c r="Q200" s="446"/>
    </row>
    <row r="201" ht="15.75" customHeight="1">
      <c r="C201" s="108"/>
      <c r="G201" s="113"/>
      <c r="Q201" s="446"/>
    </row>
    <row r="202" ht="15.75" customHeight="1">
      <c r="C202" s="108"/>
      <c r="G202" s="113"/>
      <c r="Q202" s="446"/>
    </row>
    <row r="203" ht="15.75" customHeight="1">
      <c r="C203" s="108"/>
      <c r="G203" s="113"/>
      <c r="Q203" s="446"/>
    </row>
    <row r="204" ht="15.75" customHeight="1">
      <c r="C204" s="108"/>
      <c r="G204" s="113"/>
      <c r="Q204" s="446"/>
    </row>
    <row r="205" ht="15.75" customHeight="1">
      <c r="C205" s="108"/>
      <c r="G205" s="113"/>
      <c r="Q205" s="446"/>
    </row>
    <row r="206" ht="15.75" customHeight="1">
      <c r="C206" s="108"/>
      <c r="G206" s="113"/>
      <c r="Q206" s="446"/>
    </row>
    <row r="207" ht="15.75" customHeight="1">
      <c r="C207" s="108"/>
      <c r="G207" s="113"/>
      <c r="Q207" s="446"/>
    </row>
    <row r="208" ht="15.75" customHeight="1">
      <c r="C208" s="108"/>
      <c r="G208" s="113"/>
      <c r="Q208" s="446"/>
    </row>
    <row r="209" ht="15.75" customHeight="1">
      <c r="C209" s="108"/>
      <c r="G209" s="113"/>
      <c r="Q209" s="446"/>
    </row>
    <row r="210" ht="15.75" customHeight="1">
      <c r="C210" s="108"/>
      <c r="G210" s="113"/>
      <c r="Q210" s="446"/>
    </row>
    <row r="211" ht="15.75" customHeight="1">
      <c r="C211" s="108"/>
      <c r="G211" s="113"/>
      <c r="Q211" s="446"/>
    </row>
    <row r="212" ht="15.75" customHeight="1">
      <c r="C212" s="108"/>
      <c r="G212" s="113"/>
      <c r="Q212" s="446"/>
    </row>
    <row r="213" ht="15.75" customHeight="1">
      <c r="C213" s="108"/>
      <c r="G213" s="113"/>
      <c r="Q213" s="446"/>
    </row>
    <row r="214" ht="15.75" customHeight="1">
      <c r="C214" s="108"/>
      <c r="G214" s="113"/>
      <c r="Q214" s="446"/>
    </row>
    <row r="215" ht="15.75" customHeight="1">
      <c r="C215" s="108"/>
      <c r="G215" s="113"/>
      <c r="Q215" s="446"/>
    </row>
    <row r="216" ht="15.75" customHeight="1">
      <c r="C216" s="108"/>
      <c r="G216" s="113"/>
      <c r="Q216" s="446"/>
    </row>
    <row r="217" ht="15.75" customHeight="1">
      <c r="C217" s="108"/>
      <c r="G217" s="113"/>
      <c r="Q217" s="446"/>
    </row>
    <row r="218" ht="15.75" customHeight="1">
      <c r="C218" s="108"/>
      <c r="G218" s="113"/>
      <c r="Q218" s="446"/>
    </row>
    <row r="219" ht="15.75" customHeight="1">
      <c r="C219" s="108"/>
      <c r="G219" s="113"/>
      <c r="Q219" s="446"/>
    </row>
    <row r="220" ht="15.75" customHeight="1">
      <c r="C220" s="108"/>
      <c r="G220" s="113"/>
      <c r="Q220" s="446"/>
    </row>
    <row r="221" ht="15.75" customHeight="1">
      <c r="C221" s="108"/>
      <c r="G221" s="113"/>
      <c r="Q221" s="446"/>
    </row>
    <row r="222" ht="15.75" customHeight="1">
      <c r="C222" s="108"/>
      <c r="G222" s="113"/>
      <c r="Q222" s="446"/>
    </row>
    <row r="223" ht="15.75" customHeight="1">
      <c r="C223" s="108"/>
      <c r="G223" s="113"/>
      <c r="Q223" s="446"/>
    </row>
    <row r="224" ht="15.75" customHeight="1">
      <c r="C224" s="108"/>
      <c r="G224" s="113"/>
      <c r="Q224" s="446"/>
    </row>
    <row r="225" ht="15.75" customHeight="1">
      <c r="C225" s="108"/>
      <c r="G225" s="113"/>
      <c r="Q225" s="446"/>
    </row>
    <row r="226" ht="15.75" customHeight="1">
      <c r="C226" s="108"/>
      <c r="G226" s="113"/>
      <c r="Q226" s="446"/>
    </row>
    <row r="227" ht="15.75" customHeight="1">
      <c r="C227" s="108"/>
      <c r="G227" s="113"/>
      <c r="Q227" s="446"/>
    </row>
    <row r="228" ht="15.75" customHeight="1">
      <c r="C228" s="108"/>
      <c r="G228" s="113"/>
      <c r="Q228" s="446"/>
    </row>
    <row r="229" ht="15.75" customHeight="1">
      <c r="C229" s="108"/>
      <c r="G229" s="113"/>
      <c r="Q229" s="446"/>
    </row>
    <row r="230" ht="15.75" customHeight="1">
      <c r="C230" s="108"/>
      <c r="G230" s="113"/>
      <c r="Q230" s="446"/>
    </row>
    <row r="231" ht="15.75" customHeight="1">
      <c r="C231" s="108"/>
      <c r="G231" s="113"/>
      <c r="Q231" s="446"/>
    </row>
    <row r="232" ht="15.75" customHeight="1">
      <c r="C232" s="108"/>
      <c r="G232" s="113"/>
      <c r="Q232" s="446"/>
    </row>
    <row r="233" ht="15.75" customHeight="1">
      <c r="C233" s="108"/>
      <c r="G233" s="113"/>
      <c r="Q233" s="446"/>
    </row>
    <row r="234" ht="15.75" customHeight="1">
      <c r="C234" s="108"/>
      <c r="G234" s="113"/>
      <c r="Q234" s="446"/>
    </row>
    <row r="235" ht="15.75" customHeight="1">
      <c r="C235" s="108"/>
      <c r="G235" s="113"/>
      <c r="Q235" s="446"/>
    </row>
    <row r="236" ht="15.75" customHeight="1">
      <c r="C236" s="108"/>
      <c r="G236" s="113"/>
      <c r="Q236" s="446"/>
    </row>
    <row r="237" ht="15.75" customHeight="1">
      <c r="C237" s="108"/>
      <c r="G237" s="113"/>
      <c r="Q237" s="446"/>
    </row>
    <row r="238" ht="15.75" customHeight="1">
      <c r="C238" s="108"/>
      <c r="G238" s="113"/>
      <c r="Q238" s="446"/>
    </row>
    <row r="239" ht="15.75" customHeight="1">
      <c r="C239" s="108"/>
      <c r="G239" s="113"/>
      <c r="Q239" s="446"/>
    </row>
    <row r="240" ht="15.75" customHeight="1">
      <c r="C240" s="108"/>
      <c r="G240" s="113"/>
      <c r="Q240" s="446"/>
    </row>
    <row r="241" ht="15.75" customHeight="1">
      <c r="C241" s="108"/>
      <c r="G241" s="113"/>
      <c r="Q241" s="446"/>
    </row>
    <row r="242" ht="15.75" customHeight="1">
      <c r="C242" s="108"/>
      <c r="G242" s="113"/>
      <c r="Q242" s="446"/>
    </row>
    <row r="243" ht="15.75" customHeight="1">
      <c r="C243" s="108"/>
      <c r="G243" s="113"/>
      <c r="Q243" s="446"/>
    </row>
    <row r="244" ht="15.75" customHeight="1">
      <c r="C244" s="108"/>
      <c r="G244" s="113"/>
      <c r="Q244" s="446"/>
    </row>
    <row r="245" ht="15.75" customHeight="1">
      <c r="C245" s="108"/>
      <c r="G245" s="113"/>
      <c r="Q245" s="446"/>
    </row>
    <row r="246" ht="15.75" customHeight="1">
      <c r="C246" s="108"/>
      <c r="G246" s="113"/>
      <c r="Q246" s="446"/>
    </row>
    <row r="247" ht="15.75" customHeight="1">
      <c r="C247" s="108"/>
      <c r="G247" s="113"/>
      <c r="Q247" s="446"/>
    </row>
    <row r="248" ht="15.75" customHeight="1">
      <c r="C248" s="108"/>
      <c r="G248" s="113"/>
      <c r="Q248" s="446"/>
    </row>
    <row r="249" ht="15.75" customHeight="1">
      <c r="C249" s="108"/>
      <c r="G249" s="113"/>
      <c r="Q249" s="446"/>
    </row>
    <row r="250" ht="15.75" customHeight="1">
      <c r="C250" s="108"/>
      <c r="G250" s="113"/>
      <c r="Q250" s="446"/>
    </row>
    <row r="251" ht="15.75" customHeight="1">
      <c r="C251" s="108"/>
      <c r="G251" s="113"/>
      <c r="Q251" s="446"/>
    </row>
    <row r="252" ht="15.75" customHeight="1">
      <c r="C252" s="108"/>
      <c r="G252" s="113"/>
      <c r="Q252" s="446"/>
    </row>
    <row r="253" ht="15.75" customHeight="1">
      <c r="C253" s="108"/>
      <c r="G253" s="113"/>
      <c r="Q253" s="446"/>
    </row>
    <row r="254" ht="15.75" customHeight="1">
      <c r="C254" s="108"/>
      <c r="G254" s="113"/>
      <c r="Q254" s="446"/>
    </row>
    <row r="255" ht="15.75" customHeight="1">
      <c r="C255" s="108"/>
      <c r="G255" s="113"/>
      <c r="Q255" s="446"/>
    </row>
    <row r="256" ht="15.75" customHeight="1">
      <c r="C256" s="108"/>
      <c r="G256" s="113"/>
      <c r="Q256" s="446"/>
    </row>
    <row r="257" ht="15.75" customHeight="1">
      <c r="C257" s="108"/>
      <c r="G257" s="113"/>
      <c r="Q257" s="446"/>
    </row>
    <row r="258" ht="15.75" customHeight="1">
      <c r="C258" s="108"/>
      <c r="G258" s="113"/>
      <c r="Q258" s="446"/>
    </row>
    <row r="259" ht="15.75" customHeight="1">
      <c r="C259" s="108"/>
      <c r="G259" s="113"/>
      <c r="Q259" s="446"/>
    </row>
    <row r="260" ht="15.75" customHeight="1">
      <c r="C260" s="108"/>
      <c r="G260" s="113"/>
      <c r="Q260" s="446"/>
    </row>
    <row r="261" ht="15.75" customHeight="1">
      <c r="C261" s="108"/>
      <c r="G261" s="113"/>
      <c r="Q261" s="446"/>
    </row>
    <row r="262" ht="15.75" customHeight="1">
      <c r="C262" s="108"/>
      <c r="G262" s="113"/>
      <c r="Q262" s="446"/>
    </row>
    <row r="263" ht="15.75" customHeight="1">
      <c r="C263" s="108"/>
      <c r="G263" s="113"/>
      <c r="Q263" s="446"/>
    </row>
    <row r="264" ht="15.75" customHeight="1">
      <c r="C264" s="108"/>
      <c r="G264" s="113"/>
      <c r="Q264" s="446"/>
    </row>
    <row r="265" ht="15.75" customHeight="1">
      <c r="C265" s="108"/>
      <c r="G265" s="113"/>
      <c r="Q265" s="446"/>
    </row>
    <row r="266" ht="15.75" customHeight="1">
      <c r="C266" s="108"/>
      <c r="G266" s="113"/>
      <c r="Q266" s="446"/>
    </row>
    <row r="267" ht="15.75" customHeight="1">
      <c r="C267" s="108"/>
      <c r="G267" s="113"/>
      <c r="Q267" s="446"/>
    </row>
    <row r="268" ht="15.75" customHeight="1">
      <c r="C268" s="108"/>
      <c r="G268" s="113"/>
      <c r="Q268" s="446"/>
    </row>
    <row r="269" ht="15.75" customHeight="1">
      <c r="C269" s="108"/>
      <c r="G269" s="113"/>
      <c r="Q269" s="446"/>
    </row>
    <row r="270" ht="15.75" customHeight="1">
      <c r="C270" s="108"/>
      <c r="G270" s="113"/>
      <c r="Q270" s="446"/>
    </row>
    <row r="271" ht="15.75" customHeight="1">
      <c r="C271" s="108"/>
      <c r="G271" s="113"/>
      <c r="Q271" s="446"/>
    </row>
    <row r="272" ht="15.75" customHeight="1">
      <c r="C272" s="108"/>
      <c r="G272" s="113"/>
      <c r="Q272" s="446"/>
    </row>
    <row r="273" ht="15.75" customHeight="1">
      <c r="C273" s="108"/>
      <c r="G273" s="113"/>
      <c r="Q273" s="446"/>
    </row>
    <row r="274" ht="15.75" customHeight="1">
      <c r="C274" s="108"/>
      <c r="G274" s="113"/>
      <c r="Q274" s="446"/>
    </row>
    <row r="275" ht="15.75" customHeight="1">
      <c r="C275" s="108"/>
      <c r="G275" s="113"/>
      <c r="Q275" s="446"/>
    </row>
    <row r="276" ht="15.75" customHeight="1">
      <c r="C276" s="108"/>
      <c r="G276" s="113"/>
      <c r="Q276" s="446"/>
    </row>
    <row r="277" ht="15.75" customHeight="1">
      <c r="C277" s="108"/>
      <c r="G277" s="113"/>
      <c r="Q277" s="446"/>
    </row>
    <row r="278" ht="15.75" customHeight="1">
      <c r="C278" s="108"/>
      <c r="G278" s="113"/>
      <c r="Q278" s="446"/>
    </row>
    <row r="279" ht="15.75" customHeight="1">
      <c r="C279" s="108"/>
      <c r="G279" s="113"/>
      <c r="Q279" s="446"/>
    </row>
    <row r="280" ht="15.75" customHeight="1">
      <c r="C280" s="108"/>
      <c r="G280" s="113"/>
      <c r="Q280" s="446"/>
    </row>
    <row r="281" ht="15.75" customHeight="1">
      <c r="C281" s="108"/>
      <c r="G281" s="113"/>
      <c r="Q281" s="446"/>
    </row>
    <row r="282" ht="15.75" customHeight="1">
      <c r="C282" s="108"/>
      <c r="G282" s="113"/>
      <c r="Q282" s="446"/>
    </row>
    <row r="283" ht="15.75" customHeight="1">
      <c r="C283" s="108"/>
      <c r="G283" s="113"/>
      <c r="Q283" s="446"/>
    </row>
    <row r="284" ht="15.75" customHeight="1">
      <c r="C284" s="108"/>
      <c r="G284" s="113"/>
      <c r="Q284" s="446"/>
    </row>
    <row r="285" ht="15.75" customHeight="1">
      <c r="C285" s="108"/>
      <c r="G285" s="113"/>
      <c r="Q285" s="446"/>
    </row>
    <row r="286" ht="15.75" customHeight="1">
      <c r="C286" s="108"/>
      <c r="G286" s="113"/>
      <c r="Q286" s="446"/>
    </row>
    <row r="287" ht="15.75" customHeight="1">
      <c r="C287" s="108"/>
      <c r="G287" s="113"/>
      <c r="Q287" s="446"/>
    </row>
    <row r="288" ht="15.75" customHeight="1">
      <c r="C288" s="108"/>
      <c r="G288" s="113"/>
      <c r="Q288" s="446"/>
    </row>
    <row r="289" ht="15.75" customHeight="1">
      <c r="C289" s="108"/>
      <c r="G289" s="113"/>
      <c r="Q289" s="446"/>
    </row>
    <row r="290" ht="15.75" customHeight="1">
      <c r="C290" s="108"/>
      <c r="G290" s="113"/>
      <c r="Q290" s="446"/>
    </row>
    <row r="291" ht="15.75" customHeight="1">
      <c r="C291" s="108"/>
      <c r="G291" s="113"/>
      <c r="Q291" s="446"/>
    </row>
    <row r="292" ht="15.75" customHeight="1">
      <c r="C292" s="108"/>
      <c r="G292" s="113"/>
      <c r="Q292" s="446"/>
    </row>
    <row r="293" ht="15.75" customHeight="1">
      <c r="C293" s="108"/>
      <c r="G293" s="113"/>
      <c r="Q293" s="446"/>
    </row>
    <row r="294" ht="15.75" customHeight="1">
      <c r="C294" s="108"/>
      <c r="G294" s="113"/>
      <c r="Q294" s="446"/>
    </row>
    <row r="295" ht="15.75" customHeight="1">
      <c r="C295" s="108"/>
      <c r="G295" s="113"/>
      <c r="Q295" s="446"/>
    </row>
    <row r="296" ht="15.75" customHeight="1">
      <c r="C296" s="108"/>
      <c r="G296" s="113"/>
      <c r="Q296" s="446"/>
    </row>
    <row r="297" ht="15.75" customHeight="1">
      <c r="C297" s="108"/>
      <c r="G297" s="113"/>
      <c r="Q297" s="446"/>
    </row>
    <row r="298" ht="15.75" customHeight="1">
      <c r="C298" s="108"/>
      <c r="G298" s="113"/>
      <c r="Q298" s="446"/>
    </row>
    <row r="299" ht="15.75" customHeight="1">
      <c r="C299" s="108"/>
      <c r="G299" s="113"/>
      <c r="Q299" s="446"/>
    </row>
    <row r="300" ht="15.75" customHeight="1">
      <c r="C300" s="108"/>
      <c r="G300" s="113"/>
      <c r="Q300" s="446"/>
    </row>
    <row r="301" ht="15.75" customHeight="1">
      <c r="C301" s="108"/>
      <c r="G301" s="113"/>
      <c r="Q301" s="446"/>
    </row>
    <row r="302" ht="15.75" customHeight="1">
      <c r="C302" s="108"/>
      <c r="G302" s="113"/>
      <c r="Q302" s="446"/>
    </row>
    <row r="303" ht="15.75" customHeight="1">
      <c r="C303" s="108"/>
      <c r="G303" s="113"/>
      <c r="Q303" s="446"/>
    </row>
    <row r="304" ht="15.75" customHeight="1">
      <c r="C304" s="108"/>
      <c r="G304" s="113"/>
      <c r="Q304" s="446"/>
    </row>
    <row r="305" ht="15.75" customHeight="1">
      <c r="C305" s="108"/>
      <c r="G305" s="113"/>
      <c r="Q305" s="446"/>
    </row>
    <row r="306" ht="15.75" customHeight="1">
      <c r="C306" s="108"/>
      <c r="G306" s="113"/>
      <c r="Q306" s="446"/>
    </row>
    <row r="307" ht="15.75" customHeight="1">
      <c r="C307" s="108"/>
      <c r="G307" s="113"/>
      <c r="Q307" s="446"/>
    </row>
    <row r="308" ht="15.75" customHeight="1">
      <c r="C308" s="108"/>
      <c r="G308" s="113"/>
      <c r="Q308" s="446"/>
    </row>
    <row r="309" ht="15.75" customHeight="1">
      <c r="C309" s="108"/>
      <c r="G309" s="113"/>
      <c r="Q309" s="446"/>
    </row>
    <row r="310" ht="15.75" customHeight="1">
      <c r="C310" s="108"/>
      <c r="G310" s="113"/>
      <c r="Q310" s="446"/>
    </row>
    <row r="311" ht="15.75" customHeight="1">
      <c r="C311" s="108"/>
      <c r="G311" s="113"/>
      <c r="Q311" s="446"/>
    </row>
    <row r="312" ht="15.75" customHeight="1">
      <c r="C312" s="108"/>
      <c r="G312" s="113"/>
      <c r="Q312" s="446"/>
    </row>
    <row r="313" ht="15.75" customHeight="1">
      <c r="C313" s="108"/>
      <c r="G313" s="113"/>
      <c r="Q313" s="446"/>
    </row>
    <row r="314" ht="15.75" customHeight="1">
      <c r="C314" s="108"/>
      <c r="G314" s="113"/>
      <c r="Q314" s="446"/>
    </row>
    <row r="315" ht="15.75" customHeight="1">
      <c r="C315" s="108"/>
      <c r="G315" s="113"/>
      <c r="Q315" s="446"/>
    </row>
    <row r="316" ht="15.75" customHeight="1">
      <c r="C316" s="108"/>
      <c r="G316" s="113"/>
      <c r="Q316" s="446"/>
    </row>
    <row r="317" ht="15.75" customHeight="1">
      <c r="C317" s="108"/>
      <c r="G317" s="113"/>
      <c r="Q317" s="446"/>
    </row>
    <row r="318" ht="15.75" customHeight="1">
      <c r="C318" s="108"/>
      <c r="G318" s="113"/>
      <c r="Q318" s="446"/>
    </row>
    <row r="319" ht="15.75" customHeight="1">
      <c r="C319" s="108"/>
      <c r="G319" s="113"/>
      <c r="Q319" s="446"/>
    </row>
    <row r="320" ht="15.75" customHeight="1">
      <c r="C320" s="108"/>
      <c r="G320" s="113"/>
      <c r="Q320" s="446"/>
    </row>
    <row r="321" ht="15.75" customHeight="1">
      <c r="C321" s="108"/>
      <c r="G321" s="113"/>
      <c r="Q321" s="446"/>
    </row>
    <row r="322" ht="15.75" customHeight="1">
      <c r="C322" s="108"/>
      <c r="G322" s="113"/>
      <c r="Q322" s="446"/>
    </row>
    <row r="323" ht="15.75" customHeight="1">
      <c r="C323" s="108"/>
      <c r="G323" s="113"/>
      <c r="Q323" s="446"/>
    </row>
    <row r="324" ht="15.75" customHeight="1">
      <c r="C324" s="108"/>
      <c r="G324" s="113"/>
      <c r="Q324" s="446"/>
    </row>
    <row r="325" ht="15.75" customHeight="1">
      <c r="C325" s="108"/>
      <c r="G325" s="113"/>
      <c r="Q325" s="446"/>
    </row>
    <row r="326" ht="15.75" customHeight="1">
      <c r="C326" s="108"/>
      <c r="G326" s="113"/>
      <c r="Q326" s="446"/>
    </row>
    <row r="327" ht="15.75" customHeight="1">
      <c r="C327" s="108"/>
      <c r="G327" s="113"/>
      <c r="Q327" s="446"/>
    </row>
    <row r="328" ht="15.75" customHeight="1">
      <c r="C328" s="108"/>
      <c r="G328" s="113"/>
      <c r="Q328" s="446"/>
    </row>
    <row r="329" ht="15.75" customHeight="1">
      <c r="C329" s="108"/>
      <c r="G329" s="113"/>
      <c r="Q329" s="446"/>
    </row>
    <row r="330" ht="15.75" customHeight="1">
      <c r="C330" s="108"/>
      <c r="G330" s="113"/>
      <c r="Q330" s="446"/>
    </row>
    <row r="331" ht="15.75" customHeight="1">
      <c r="C331" s="108"/>
      <c r="G331" s="113"/>
      <c r="Q331" s="446"/>
    </row>
    <row r="332" ht="15.75" customHeight="1">
      <c r="C332" s="108"/>
      <c r="G332" s="113"/>
      <c r="Q332" s="446"/>
    </row>
    <row r="333" ht="15.75" customHeight="1">
      <c r="C333" s="108"/>
      <c r="G333" s="113"/>
      <c r="Q333" s="446"/>
    </row>
    <row r="334" ht="15.75" customHeight="1">
      <c r="C334" s="108"/>
      <c r="G334" s="113"/>
      <c r="Q334" s="446"/>
    </row>
    <row r="335" ht="15.75" customHeight="1">
      <c r="C335" s="108"/>
      <c r="G335" s="113"/>
      <c r="Q335" s="446"/>
    </row>
    <row r="336" ht="15.75" customHeight="1">
      <c r="C336" s="108"/>
      <c r="G336" s="113"/>
      <c r="Q336" s="446"/>
    </row>
    <row r="337" ht="15.75" customHeight="1">
      <c r="C337" s="108"/>
      <c r="G337" s="113"/>
      <c r="Q337" s="446"/>
    </row>
    <row r="338" ht="15.75" customHeight="1">
      <c r="C338" s="108"/>
      <c r="G338" s="113"/>
      <c r="Q338" s="446"/>
    </row>
    <row r="339" ht="15.75" customHeight="1">
      <c r="C339" s="108"/>
      <c r="G339" s="113"/>
      <c r="Q339" s="446"/>
    </row>
    <row r="340" ht="15.75" customHeight="1">
      <c r="C340" s="108"/>
      <c r="G340" s="113"/>
      <c r="Q340" s="446"/>
    </row>
    <row r="341" ht="15.75" customHeight="1">
      <c r="C341" s="108"/>
      <c r="G341" s="113"/>
      <c r="Q341" s="446"/>
    </row>
    <row r="342" ht="15.75" customHeight="1">
      <c r="C342" s="108"/>
      <c r="G342" s="113"/>
      <c r="Q342" s="446"/>
    </row>
    <row r="343" ht="15.75" customHeight="1">
      <c r="C343" s="108"/>
      <c r="G343" s="113"/>
      <c r="Q343" s="446"/>
    </row>
    <row r="344" ht="15.75" customHeight="1">
      <c r="C344" s="108"/>
      <c r="G344" s="113"/>
      <c r="Q344" s="446"/>
    </row>
    <row r="345" ht="15.75" customHeight="1">
      <c r="C345" s="108"/>
      <c r="G345" s="113"/>
      <c r="Q345" s="446"/>
    </row>
    <row r="346" ht="15.75" customHeight="1">
      <c r="C346" s="108"/>
      <c r="G346" s="113"/>
      <c r="Q346" s="446"/>
    </row>
    <row r="347" ht="15.75" customHeight="1">
      <c r="C347" s="108"/>
      <c r="G347" s="113"/>
      <c r="Q347" s="446"/>
    </row>
    <row r="348" ht="15.75" customHeight="1">
      <c r="C348" s="108"/>
      <c r="G348" s="113"/>
      <c r="Q348" s="446"/>
    </row>
    <row r="349" ht="15.75" customHeight="1">
      <c r="C349" s="108"/>
      <c r="G349" s="113"/>
      <c r="Q349" s="446"/>
    </row>
    <row r="350" ht="15.75" customHeight="1">
      <c r="C350" s="108"/>
      <c r="G350" s="113"/>
      <c r="Q350" s="446"/>
    </row>
    <row r="351" ht="15.75" customHeight="1">
      <c r="C351" s="108"/>
      <c r="G351" s="113"/>
      <c r="Q351" s="446"/>
    </row>
    <row r="352" ht="15.75" customHeight="1">
      <c r="C352" s="108"/>
      <c r="G352" s="113"/>
      <c r="Q352" s="446"/>
    </row>
    <row r="353" ht="15.75" customHeight="1">
      <c r="C353" s="108"/>
      <c r="G353" s="113"/>
      <c r="Q353" s="446"/>
    </row>
    <row r="354" ht="15.75" customHeight="1">
      <c r="C354" s="108"/>
      <c r="G354" s="113"/>
      <c r="Q354" s="446"/>
    </row>
    <row r="355" ht="15.75" customHeight="1">
      <c r="C355" s="108"/>
      <c r="G355" s="113"/>
      <c r="Q355" s="446"/>
    </row>
    <row r="356" ht="15.75" customHeight="1">
      <c r="C356" s="108"/>
      <c r="G356" s="113"/>
      <c r="Q356" s="446"/>
    </row>
    <row r="357" ht="15.75" customHeight="1">
      <c r="C357" s="108"/>
      <c r="G357" s="113"/>
      <c r="Q357" s="446"/>
    </row>
    <row r="358" ht="15.75" customHeight="1">
      <c r="C358" s="108"/>
      <c r="G358" s="113"/>
      <c r="Q358" s="446"/>
    </row>
    <row r="359" ht="15.75" customHeight="1">
      <c r="C359" s="108"/>
      <c r="G359" s="113"/>
      <c r="Q359" s="446"/>
    </row>
    <row r="360" ht="15.75" customHeight="1">
      <c r="C360" s="108"/>
      <c r="G360" s="113"/>
      <c r="Q360" s="446"/>
    </row>
    <row r="361" ht="15.75" customHeight="1">
      <c r="C361" s="108"/>
      <c r="G361" s="113"/>
      <c r="Q361" s="446"/>
    </row>
    <row r="362" ht="15.75" customHeight="1">
      <c r="C362" s="108"/>
      <c r="G362" s="113"/>
      <c r="Q362" s="446"/>
    </row>
    <row r="363" ht="15.75" customHeight="1">
      <c r="C363" s="108"/>
      <c r="G363" s="113"/>
      <c r="Q363" s="446"/>
    </row>
    <row r="364" ht="15.75" customHeight="1">
      <c r="C364" s="108"/>
      <c r="G364" s="113"/>
      <c r="Q364" s="446"/>
    </row>
    <row r="365" ht="15.75" customHeight="1">
      <c r="C365" s="108"/>
      <c r="G365" s="113"/>
      <c r="Q365" s="446"/>
    </row>
    <row r="366" ht="15.75" customHeight="1">
      <c r="C366" s="108"/>
      <c r="G366" s="113"/>
      <c r="Q366" s="446"/>
    </row>
    <row r="367" ht="15.75" customHeight="1">
      <c r="C367" s="108"/>
      <c r="G367" s="113"/>
      <c r="Q367" s="446"/>
    </row>
    <row r="368" ht="15.75" customHeight="1">
      <c r="C368" s="108"/>
      <c r="G368" s="113"/>
      <c r="Q368" s="446"/>
    </row>
    <row r="369" ht="15.75" customHeight="1">
      <c r="C369" s="108"/>
      <c r="G369" s="113"/>
      <c r="Q369" s="446"/>
    </row>
    <row r="370" ht="15.75" customHeight="1">
      <c r="C370" s="108"/>
      <c r="G370" s="113"/>
      <c r="Q370" s="446"/>
    </row>
    <row r="371" ht="15.75" customHeight="1">
      <c r="C371" s="108"/>
      <c r="G371" s="113"/>
      <c r="Q371" s="446"/>
    </row>
    <row r="372" ht="15.75" customHeight="1">
      <c r="C372" s="108"/>
      <c r="G372" s="113"/>
      <c r="Q372" s="446"/>
    </row>
    <row r="373" ht="15.75" customHeight="1">
      <c r="C373" s="108"/>
      <c r="G373" s="113"/>
      <c r="Q373" s="446"/>
    </row>
    <row r="374" ht="15.75" customHeight="1">
      <c r="C374" s="108"/>
      <c r="G374" s="113"/>
      <c r="Q374" s="446"/>
    </row>
    <row r="375" ht="15.75" customHeight="1">
      <c r="C375" s="108"/>
      <c r="G375" s="113"/>
      <c r="Q375" s="446"/>
    </row>
    <row r="376" ht="15.75" customHeight="1">
      <c r="C376" s="108"/>
      <c r="G376" s="113"/>
      <c r="Q376" s="446"/>
    </row>
    <row r="377" ht="15.75" customHeight="1">
      <c r="C377" s="108"/>
      <c r="G377" s="113"/>
      <c r="Q377" s="446"/>
    </row>
    <row r="378" ht="15.75" customHeight="1">
      <c r="C378" s="108"/>
      <c r="G378" s="113"/>
      <c r="Q378" s="446"/>
    </row>
    <row r="379" ht="15.75" customHeight="1">
      <c r="C379" s="108"/>
      <c r="G379" s="113"/>
      <c r="Q379" s="446"/>
    </row>
    <row r="380" ht="15.75" customHeight="1">
      <c r="C380" s="108"/>
      <c r="G380" s="113"/>
      <c r="Q380" s="446"/>
    </row>
    <row r="381" ht="15.75" customHeight="1">
      <c r="C381" s="108"/>
      <c r="G381" s="113"/>
      <c r="Q381" s="446"/>
    </row>
    <row r="382" ht="15.75" customHeight="1">
      <c r="C382" s="108"/>
      <c r="G382" s="113"/>
      <c r="Q382" s="446"/>
    </row>
    <row r="383" ht="15.75" customHeight="1">
      <c r="C383" s="108"/>
      <c r="G383" s="113"/>
      <c r="Q383" s="446"/>
    </row>
    <row r="384" ht="15.75" customHeight="1">
      <c r="C384" s="108"/>
      <c r="G384" s="113"/>
      <c r="Q384" s="446"/>
    </row>
    <row r="385" ht="15.75" customHeight="1">
      <c r="C385" s="108"/>
      <c r="G385" s="113"/>
      <c r="Q385" s="446"/>
    </row>
    <row r="386" ht="15.75" customHeight="1">
      <c r="C386" s="108"/>
      <c r="G386" s="113"/>
      <c r="Q386" s="446"/>
    </row>
    <row r="387" ht="15.75" customHeight="1">
      <c r="C387" s="108"/>
      <c r="G387" s="113"/>
      <c r="Q387" s="446"/>
    </row>
    <row r="388" ht="15.75" customHeight="1">
      <c r="C388" s="108"/>
      <c r="G388" s="113"/>
      <c r="Q388" s="446"/>
    </row>
    <row r="389" ht="15.75" customHeight="1">
      <c r="C389" s="108"/>
      <c r="G389" s="113"/>
      <c r="Q389" s="446"/>
    </row>
    <row r="390" ht="15.75" customHeight="1">
      <c r="C390" s="108"/>
      <c r="G390" s="113"/>
      <c r="Q390" s="446"/>
    </row>
    <row r="391" ht="15.75" customHeight="1">
      <c r="C391" s="108"/>
      <c r="G391" s="113"/>
      <c r="Q391" s="446"/>
    </row>
    <row r="392" ht="15.75" customHeight="1">
      <c r="C392" s="108"/>
      <c r="G392" s="113"/>
      <c r="Q392" s="446"/>
    </row>
    <row r="393" ht="15.75" customHeight="1">
      <c r="C393" s="108"/>
      <c r="G393" s="113"/>
      <c r="Q393" s="446"/>
    </row>
    <row r="394" ht="15.75" customHeight="1">
      <c r="C394" s="108"/>
      <c r="G394" s="113"/>
      <c r="Q394" s="446"/>
    </row>
    <row r="395" ht="15.75" customHeight="1">
      <c r="C395" s="108"/>
      <c r="G395" s="113"/>
      <c r="Q395" s="446"/>
    </row>
    <row r="396" ht="15.75" customHeight="1">
      <c r="C396" s="108"/>
      <c r="G396" s="113"/>
      <c r="Q396" s="446"/>
    </row>
    <row r="397" ht="15.75" customHeight="1">
      <c r="C397" s="108"/>
      <c r="G397" s="113"/>
      <c r="Q397" s="446"/>
    </row>
    <row r="398" ht="15.75" customHeight="1">
      <c r="C398" s="108"/>
      <c r="G398" s="113"/>
      <c r="Q398" s="446"/>
    </row>
    <row r="399" ht="15.75" customHeight="1">
      <c r="C399" s="108"/>
      <c r="G399" s="113"/>
      <c r="Q399" s="446"/>
    </row>
    <row r="400" ht="15.75" customHeight="1">
      <c r="C400" s="108"/>
      <c r="G400" s="113"/>
      <c r="Q400" s="446"/>
    </row>
    <row r="401" ht="15.75" customHeight="1">
      <c r="C401" s="108"/>
      <c r="G401" s="113"/>
      <c r="Q401" s="446"/>
    </row>
    <row r="402" ht="15.75" customHeight="1">
      <c r="C402" s="108"/>
      <c r="G402" s="113"/>
      <c r="Q402" s="446"/>
    </row>
    <row r="403" ht="15.75" customHeight="1">
      <c r="C403" s="108"/>
      <c r="G403" s="113"/>
      <c r="Q403" s="446"/>
    </row>
    <row r="404" ht="15.75" customHeight="1">
      <c r="C404" s="108"/>
      <c r="G404" s="113"/>
      <c r="Q404" s="446"/>
    </row>
    <row r="405" ht="15.75" customHeight="1">
      <c r="C405" s="108"/>
      <c r="G405" s="113"/>
      <c r="Q405" s="446"/>
    </row>
    <row r="406" ht="15.75" customHeight="1">
      <c r="C406" s="108"/>
      <c r="G406" s="113"/>
      <c r="Q406" s="446"/>
    </row>
    <row r="407" ht="15.75" customHeight="1">
      <c r="C407" s="108"/>
      <c r="G407" s="113"/>
      <c r="Q407" s="446"/>
    </row>
    <row r="408" ht="15.75" customHeight="1">
      <c r="C408" s="108"/>
      <c r="G408" s="113"/>
      <c r="Q408" s="446"/>
    </row>
    <row r="409" ht="15.75" customHeight="1">
      <c r="C409" s="108"/>
      <c r="G409" s="113"/>
      <c r="Q409" s="446"/>
    </row>
    <row r="410" ht="15.75" customHeight="1">
      <c r="C410" s="108"/>
      <c r="G410" s="113"/>
      <c r="Q410" s="446"/>
    </row>
    <row r="411" ht="15.75" customHeight="1">
      <c r="C411" s="108"/>
      <c r="G411" s="113"/>
      <c r="Q411" s="446"/>
    </row>
    <row r="412" ht="15.75" customHeight="1">
      <c r="C412" s="108"/>
      <c r="G412" s="113"/>
      <c r="Q412" s="446"/>
    </row>
    <row r="413" ht="15.75" customHeight="1">
      <c r="C413" s="108"/>
      <c r="G413" s="113"/>
      <c r="Q413" s="446"/>
    </row>
    <row r="414" ht="15.75" customHeight="1">
      <c r="C414" s="108"/>
      <c r="G414" s="113"/>
      <c r="Q414" s="446"/>
    </row>
    <row r="415" ht="15.75" customHeight="1">
      <c r="C415" s="108"/>
      <c r="G415" s="113"/>
      <c r="Q415" s="446"/>
    </row>
    <row r="416" ht="15.75" customHeight="1">
      <c r="C416" s="108"/>
      <c r="G416" s="113"/>
      <c r="Q416" s="446"/>
    </row>
    <row r="417" ht="15.75" customHeight="1">
      <c r="C417" s="108"/>
      <c r="G417" s="113"/>
      <c r="Q417" s="446"/>
    </row>
    <row r="418" ht="15.75" customHeight="1">
      <c r="C418" s="108"/>
      <c r="G418" s="113"/>
      <c r="Q418" s="446"/>
    </row>
    <row r="419" ht="15.75" customHeight="1">
      <c r="C419" s="108"/>
      <c r="G419" s="113"/>
      <c r="Q419" s="446"/>
    </row>
    <row r="420" ht="15.75" customHeight="1">
      <c r="C420" s="108"/>
      <c r="G420" s="113"/>
      <c r="Q420" s="446"/>
    </row>
    <row r="421" ht="15.75" customHeight="1">
      <c r="C421" s="108"/>
      <c r="G421" s="113"/>
      <c r="Q421" s="446"/>
    </row>
    <row r="422" ht="15.75" customHeight="1">
      <c r="C422" s="108"/>
      <c r="G422" s="113"/>
      <c r="Q422" s="446"/>
    </row>
    <row r="423" ht="15.75" customHeight="1">
      <c r="C423" s="108"/>
      <c r="G423" s="113"/>
      <c r="Q423" s="446"/>
    </row>
    <row r="424" ht="15.75" customHeight="1">
      <c r="C424" s="108"/>
      <c r="G424" s="113"/>
      <c r="Q424" s="446"/>
    </row>
    <row r="425" ht="15.75" customHeight="1">
      <c r="C425" s="108"/>
      <c r="G425" s="113"/>
      <c r="Q425" s="446"/>
    </row>
    <row r="426" ht="15.75" customHeight="1">
      <c r="C426" s="108"/>
      <c r="G426" s="113"/>
      <c r="Q426" s="446"/>
    </row>
    <row r="427" ht="15.75" customHeight="1">
      <c r="C427" s="108"/>
      <c r="G427" s="113"/>
      <c r="Q427" s="446"/>
    </row>
    <row r="428" ht="15.75" customHeight="1">
      <c r="C428" s="108"/>
      <c r="G428" s="113"/>
      <c r="Q428" s="446"/>
    </row>
    <row r="429" ht="15.75" customHeight="1">
      <c r="C429" s="108"/>
      <c r="G429" s="113"/>
      <c r="Q429" s="446"/>
    </row>
    <row r="430" ht="15.75" customHeight="1">
      <c r="C430" s="108"/>
      <c r="G430" s="113"/>
      <c r="Q430" s="446"/>
    </row>
    <row r="431" ht="15.75" customHeight="1">
      <c r="C431" s="108"/>
      <c r="G431" s="113"/>
      <c r="Q431" s="446"/>
    </row>
    <row r="432" ht="15.75" customHeight="1">
      <c r="C432" s="108"/>
      <c r="G432" s="113"/>
      <c r="Q432" s="446"/>
    </row>
    <row r="433" ht="15.75" customHeight="1">
      <c r="C433" s="108"/>
      <c r="G433" s="113"/>
      <c r="Q433" s="446"/>
    </row>
    <row r="434" ht="15.75" customHeight="1">
      <c r="C434" s="108"/>
      <c r="G434" s="113"/>
      <c r="Q434" s="446"/>
    </row>
    <row r="435" ht="15.75" customHeight="1">
      <c r="C435" s="108"/>
      <c r="G435" s="113"/>
      <c r="Q435" s="446"/>
    </row>
    <row r="436" ht="15.75" customHeight="1">
      <c r="C436" s="108"/>
      <c r="G436" s="113"/>
      <c r="Q436" s="446"/>
    </row>
    <row r="437" ht="15.75" customHeight="1">
      <c r="C437" s="108"/>
      <c r="G437" s="113"/>
      <c r="Q437" s="446"/>
    </row>
    <row r="438" ht="15.75" customHeight="1">
      <c r="C438" s="108"/>
      <c r="G438" s="113"/>
      <c r="Q438" s="446"/>
    </row>
    <row r="439" ht="15.75" customHeight="1">
      <c r="C439" s="108"/>
      <c r="G439" s="113"/>
      <c r="Q439" s="446"/>
    </row>
    <row r="440" ht="15.75" customHeight="1">
      <c r="C440" s="108"/>
      <c r="G440" s="113"/>
      <c r="Q440" s="446"/>
    </row>
    <row r="441" ht="15.75" customHeight="1">
      <c r="C441" s="108"/>
      <c r="G441" s="113"/>
      <c r="Q441" s="446"/>
    </row>
    <row r="442" ht="15.75" customHeight="1">
      <c r="C442" s="108"/>
      <c r="G442" s="113"/>
      <c r="Q442" s="446"/>
    </row>
    <row r="443" ht="15.75" customHeight="1">
      <c r="C443" s="108"/>
      <c r="G443" s="113"/>
      <c r="Q443" s="446"/>
    </row>
    <row r="444" ht="15.75" customHeight="1">
      <c r="C444" s="108"/>
      <c r="G444" s="113"/>
      <c r="Q444" s="446"/>
    </row>
    <row r="445" ht="15.75" customHeight="1">
      <c r="C445" s="108"/>
      <c r="G445" s="113"/>
      <c r="Q445" s="446"/>
    </row>
    <row r="446" ht="15.75" customHeight="1">
      <c r="C446" s="108"/>
      <c r="G446" s="113"/>
      <c r="Q446" s="446"/>
    </row>
    <row r="447" ht="15.75" customHeight="1">
      <c r="C447" s="108"/>
      <c r="G447" s="113"/>
      <c r="Q447" s="446"/>
    </row>
    <row r="448" ht="15.75" customHeight="1">
      <c r="C448" s="108"/>
      <c r="G448" s="113"/>
      <c r="Q448" s="446"/>
    </row>
    <row r="449" ht="15.75" customHeight="1">
      <c r="C449" s="108"/>
      <c r="G449" s="113"/>
      <c r="Q449" s="446"/>
    </row>
    <row r="450" ht="15.75" customHeight="1">
      <c r="C450" s="108"/>
      <c r="G450" s="113"/>
      <c r="Q450" s="446"/>
    </row>
    <row r="451" ht="15.75" customHeight="1">
      <c r="C451" s="108"/>
      <c r="G451" s="113"/>
      <c r="Q451" s="446"/>
    </row>
    <row r="452" ht="15.75" customHeight="1">
      <c r="C452" s="108"/>
      <c r="G452" s="113"/>
      <c r="Q452" s="446"/>
    </row>
    <row r="453" ht="15.75" customHeight="1">
      <c r="C453" s="108"/>
      <c r="G453" s="113"/>
      <c r="Q453" s="446"/>
    </row>
    <row r="454" ht="15.75" customHeight="1">
      <c r="C454" s="108"/>
      <c r="G454" s="113"/>
      <c r="Q454" s="446"/>
    </row>
    <row r="455" ht="15.75" customHeight="1">
      <c r="C455" s="108"/>
      <c r="G455" s="113"/>
      <c r="Q455" s="446"/>
    </row>
    <row r="456" ht="15.75" customHeight="1">
      <c r="C456" s="108"/>
      <c r="G456" s="113"/>
      <c r="Q456" s="446"/>
    </row>
    <row r="457" ht="15.75" customHeight="1">
      <c r="C457" s="108"/>
      <c r="G457" s="113"/>
      <c r="Q457" s="446"/>
    </row>
    <row r="458" ht="15.75" customHeight="1">
      <c r="C458" s="108"/>
      <c r="G458" s="113"/>
      <c r="Q458" s="446"/>
    </row>
    <row r="459" ht="15.75" customHeight="1">
      <c r="C459" s="108"/>
      <c r="G459" s="113"/>
      <c r="Q459" s="446"/>
    </row>
    <row r="460" ht="15.75" customHeight="1">
      <c r="C460" s="108"/>
      <c r="G460" s="113"/>
      <c r="Q460" s="446"/>
    </row>
    <row r="461" ht="15.75" customHeight="1">
      <c r="C461" s="108"/>
      <c r="G461" s="113"/>
      <c r="Q461" s="446"/>
    </row>
    <row r="462" ht="15.75" customHeight="1">
      <c r="C462" s="108"/>
      <c r="G462" s="113"/>
      <c r="Q462" s="446"/>
    </row>
    <row r="463" ht="15.75" customHeight="1">
      <c r="C463" s="108"/>
      <c r="G463" s="113"/>
      <c r="Q463" s="446"/>
    </row>
    <row r="464" ht="15.75" customHeight="1">
      <c r="C464" s="108"/>
      <c r="G464" s="113"/>
      <c r="Q464" s="446"/>
    </row>
    <row r="465" ht="15.75" customHeight="1">
      <c r="C465" s="108"/>
      <c r="G465" s="113"/>
      <c r="Q465" s="446"/>
    </row>
    <row r="466" ht="15.75" customHeight="1">
      <c r="C466" s="108"/>
      <c r="G466" s="113"/>
      <c r="Q466" s="446"/>
    </row>
    <row r="467" ht="15.75" customHeight="1">
      <c r="C467" s="108"/>
      <c r="G467" s="113"/>
      <c r="Q467" s="446"/>
    </row>
    <row r="468" ht="15.75" customHeight="1">
      <c r="C468" s="108"/>
      <c r="G468" s="113"/>
      <c r="Q468" s="446"/>
    </row>
    <row r="469" ht="15.75" customHeight="1">
      <c r="C469" s="108"/>
      <c r="G469" s="113"/>
      <c r="Q469" s="446"/>
    </row>
    <row r="470" ht="15.75" customHeight="1">
      <c r="C470" s="108"/>
      <c r="G470" s="113"/>
      <c r="Q470" s="446"/>
    </row>
    <row r="471" ht="15.75" customHeight="1">
      <c r="C471" s="108"/>
      <c r="G471" s="113"/>
      <c r="Q471" s="446"/>
    </row>
    <row r="472" ht="15.75" customHeight="1">
      <c r="C472" s="108"/>
      <c r="G472" s="113"/>
      <c r="Q472" s="446"/>
    </row>
    <row r="473" ht="15.75" customHeight="1">
      <c r="C473" s="108"/>
      <c r="G473" s="113"/>
      <c r="Q473" s="446"/>
    </row>
    <row r="474" ht="15.75" customHeight="1">
      <c r="C474" s="108"/>
      <c r="G474" s="113"/>
      <c r="Q474" s="446"/>
    </row>
    <row r="475" ht="15.75" customHeight="1">
      <c r="C475" s="108"/>
      <c r="G475" s="113"/>
      <c r="Q475" s="446"/>
    </row>
    <row r="476" ht="15.75" customHeight="1">
      <c r="C476" s="108"/>
      <c r="G476" s="113"/>
      <c r="Q476" s="446"/>
    </row>
    <row r="477" ht="15.75" customHeight="1">
      <c r="C477" s="108"/>
      <c r="G477" s="113"/>
      <c r="Q477" s="446"/>
    </row>
    <row r="478" ht="15.75" customHeight="1">
      <c r="C478" s="108"/>
      <c r="G478" s="113"/>
      <c r="Q478" s="446"/>
    </row>
    <row r="479" ht="15.75" customHeight="1">
      <c r="C479" s="108"/>
      <c r="G479" s="113"/>
      <c r="Q479" s="446"/>
    </row>
    <row r="480" ht="15.75" customHeight="1">
      <c r="C480" s="108"/>
      <c r="G480" s="113"/>
      <c r="Q480" s="446"/>
    </row>
    <row r="481" ht="15.75" customHeight="1">
      <c r="C481" s="108"/>
      <c r="G481" s="113"/>
      <c r="Q481" s="446"/>
    </row>
    <row r="482" ht="15.75" customHeight="1">
      <c r="C482" s="108"/>
      <c r="G482" s="113"/>
      <c r="Q482" s="446"/>
    </row>
    <row r="483" ht="15.75" customHeight="1">
      <c r="C483" s="108"/>
      <c r="G483" s="113"/>
      <c r="Q483" s="446"/>
    </row>
    <row r="484" ht="15.75" customHeight="1">
      <c r="C484" s="108"/>
      <c r="G484" s="113"/>
      <c r="Q484" s="446"/>
    </row>
    <row r="485" ht="15.75" customHeight="1">
      <c r="C485" s="108"/>
      <c r="G485" s="113"/>
      <c r="Q485" s="446"/>
    </row>
    <row r="486" ht="15.75" customHeight="1">
      <c r="C486" s="108"/>
      <c r="G486" s="113"/>
      <c r="Q486" s="446"/>
    </row>
    <row r="487" ht="15.75" customHeight="1">
      <c r="C487" s="108"/>
      <c r="G487" s="113"/>
      <c r="Q487" s="446"/>
    </row>
    <row r="488" ht="15.75" customHeight="1">
      <c r="C488" s="108"/>
      <c r="G488" s="113"/>
      <c r="Q488" s="446"/>
    </row>
    <row r="489" ht="15.75" customHeight="1">
      <c r="C489" s="108"/>
      <c r="G489" s="113"/>
      <c r="Q489" s="446"/>
    </row>
    <row r="490" ht="15.75" customHeight="1">
      <c r="C490" s="108"/>
      <c r="G490" s="113"/>
      <c r="Q490" s="446"/>
    </row>
    <row r="491" ht="15.75" customHeight="1">
      <c r="C491" s="108"/>
      <c r="G491" s="113"/>
      <c r="Q491" s="446"/>
    </row>
    <row r="492" ht="15.75" customHeight="1">
      <c r="C492" s="108"/>
      <c r="G492" s="113"/>
      <c r="Q492" s="446"/>
    </row>
    <row r="493" ht="15.75" customHeight="1">
      <c r="C493" s="108"/>
      <c r="G493" s="113"/>
      <c r="Q493" s="446"/>
    </row>
    <row r="494" ht="15.75" customHeight="1">
      <c r="C494" s="108"/>
      <c r="G494" s="113"/>
      <c r="Q494" s="446"/>
    </row>
    <row r="495" ht="15.75" customHeight="1">
      <c r="C495" s="108"/>
      <c r="G495" s="113"/>
      <c r="Q495" s="446"/>
    </row>
    <row r="496" ht="15.75" customHeight="1">
      <c r="C496" s="108"/>
      <c r="G496" s="113"/>
      <c r="Q496" s="446"/>
    </row>
    <row r="497" ht="15.75" customHeight="1">
      <c r="C497" s="108"/>
      <c r="G497" s="113"/>
      <c r="Q497" s="446"/>
    </row>
    <row r="498" ht="15.75" customHeight="1">
      <c r="C498" s="108"/>
      <c r="G498" s="113"/>
      <c r="Q498" s="446"/>
    </row>
    <row r="499" ht="15.75" customHeight="1">
      <c r="C499" s="108"/>
      <c r="G499" s="113"/>
      <c r="Q499" s="446"/>
    </row>
    <row r="500" ht="15.75" customHeight="1">
      <c r="C500" s="108"/>
      <c r="G500" s="113"/>
      <c r="Q500" s="446"/>
    </row>
    <row r="501" ht="15.75" customHeight="1">
      <c r="C501" s="108"/>
      <c r="G501" s="113"/>
      <c r="Q501" s="446"/>
    </row>
    <row r="502" ht="15.75" customHeight="1">
      <c r="C502" s="108"/>
      <c r="G502" s="113"/>
      <c r="Q502" s="446"/>
    </row>
    <row r="503" ht="15.75" customHeight="1">
      <c r="C503" s="108"/>
      <c r="G503" s="113"/>
      <c r="Q503" s="446"/>
    </row>
    <row r="504" ht="15.75" customHeight="1">
      <c r="C504" s="108"/>
      <c r="G504" s="113"/>
      <c r="Q504" s="446"/>
    </row>
    <row r="505" ht="15.75" customHeight="1">
      <c r="C505" s="108"/>
      <c r="G505" s="113"/>
      <c r="Q505" s="446"/>
    </row>
    <row r="506" ht="15.75" customHeight="1">
      <c r="C506" s="108"/>
      <c r="G506" s="113"/>
      <c r="Q506" s="446"/>
    </row>
    <row r="507" ht="15.75" customHeight="1">
      <c r="C507" s="108"/>
      <c r="G507" s="113"/>
      <c r="Q507" s="446"/>
    </row>
    <row r="508" ht="15.75" customHeight="1">
      <c r="C508" s="108"/>
      <c r="G508" s="113"/>
      <c r="Q508" s="446"/>
    </row>
    <row r="509" ht="15.75" customHeight="1">
      <c r="C509" s="108"/>
      <c r="G509" s="113"/>
      <c r="Q509" s="446"/>
    </row>
    <row r="510" ht="15.75" customHeight="1">
      <c r="C510" s="108"/>
      <c r="G510" s="113"/>
      <c r="Q510" s="446"/>
    </row>
    <row r="511" ht="15.75" customHeight="1">
      <c r="C511" s="108"/>
      <c r="G511" s="113"/>
      <c r="Q511" s="446"/>
    </row>
    <row r="512" ht="15.75" customHeight="1">
      <c r="C512" s="108"/>
      <c r="G512" s="113"/>
      <c r="Q512" s="446"/>
    </row>
    <row r="513" ht="15.75" customHeight="1">
      <c r="C513" s="108"/>
      <c r="G513" s="113"/>
      <c r="Q513" s="446"/>
    </row>
    <row r="514" ht="15.75" customHeight="1">
      <c r="C514" s="108"/>
      <c r="G514" s="113"/>
      <c r="Q514" s="446"/>
    </row>
    <row r="515" ht="15.75" customHeight="1">
      <c r="C515" s="108"/>
      <c r="G515" s="113"/>
      <c r="Q515" s="446"/>
    </row>
    <row r="516" ht="15.75" customHeight="1">
      <c r="C516" s="108"/>
      <c r="G516" s="113"/>
      <c r="Q516" s="446"/>
    </row>
    <row r="517" ht="15.75" customHeight="1">
      <c r="C517" s="108"/>
      <c r="G517" s="113"/>
      <c r="Q517" s="446"/>
    </row>
    <row r="518" ht="15.75" customHeight="1">
      <c r="C518" s="108"/>
      <c r="G518" s="113"/>
      <c r="Q518" s="446"/>
    </row>
    <row r="519" ht="15.75" customHeight="1">
      <c r="C519" s="108"/>
      <c r="G519" s="113"/>
      <c r="Q519" s="446"/>
    </row>
    <row r="520" ht="15.75" customHeight="1">
      <c r="C520" s="108"/>
      <c r="G520" s="113"/>
      <c r="Q520" s="446"/>
    </row>
    <row r="521" ht="15.75" customHeight="1">
      <c r="C521" s="108"/>
      <c r="G521" s="113"/>
      <c r="Q521" s="446"/>
    </row>
    <row r="522" ht="15.75" customHeight="1">
      <c r="C522" s="108"/>
      <c r="G522" s="113"/>
      <c r="Q522" s="446"/>
    </row>
    <row r="523" ht="15.75" customHeight="1">
      <c r="C523" s="108"/>
      <c r="G523" s="113"/>
      <c r="Q523" s="446"/>
    </row>
    <row r="524" ht="15.75" customHeight="1">
      <c r="C524" s="108"/>
      <c r="G524" s="113"/>
      <c r="Q524" s="446"/>
    </row>
    <row r="525" ht="15.75" customHeight="1">
      <c r="C525" s="108"/>
      <c r="G525" s="113"/>
      <c r="Q525" s="446"/>
    </row>
    <row r="526" ht="15.75" customHeight="1">
      <c r="C526" s="108"/>
      <c r="G526" s="113"/>
      <c r="Q526" s="446"/>
    </row>
    <row r="527" ht="15.75" customHeight="1">
      <c r="C527" s="108"/>
      <c r="G527" s="113"/>
      <c r="Q527" s="446"/>
    </row>
    <row r="528" ht="15.75" customHeight="1">
      <c r="C528" s="108"/>
      <c r="G528" s="113"/>
      <c r="Q528" s="446"/>
    </row>
    <row r="529" ht="15.75" customHeight="1">
      <c r="C529" s="108"/>
      <c r="G529" s="113"/>
      <c r="Q529" s="446"/>
    </row>
    <row r="530" ht="15.75" customHeight="1">
      <c r="C530" s="108"/>
      <c r="G530" s="113"/>
      <c r="Q530" s="446"/>
    </row>
    <row r="531" ht="15.75" customHeight="1">
      <c r="C531" s="108"/>
      <c r="G531" s="113"/>
      <c r="Q531" s="446"/>
    </row>
    <row r="532" ht="15.75" customHeight="1">
      <c r="C532" s="108"/>
      <c r="G532" s="113"/>
      <c r="Q532" s="446"/>
    </row>
    <row r="533" ht="15.75" customHeight="1">
      <c r="C533" s="108"/>
      <c r="G533" s="113"/>
      <c r="Q533" s="446"/>
    </row>
    <row r="534" ht="15.75" customHeight="1">
      <c r="C534" s="108"/>
      <c r="G534" s="113"/>
      <c r="Q534" s="446"/>
    </row>
    <row r="535" ht="15.75" customHeight="1">
      <c r="C535" s="108"/>
      <c r="G535" s="113"/>
      <c r="Q535" s="446"/>
    </row>
    <row r="536" ht="15.75" customHeight="1">
      <c r="C536" s="108"/>
      <c r="G536" s="113"/>
      <c r="Q536" s="446"/>
    </row>
    <row r="537" ht="15.75" customHeight="1">
      <c r="C537" s="108"/>
      <c r="G537" s="113"/>
      <c r="Q537" s="446"/>
    </row>
    <row r="538" ht="15.75" customHeight="1">
      <c r="C538" s="108"/>
      <c r="G538" s="113"/>
      <c r="Q538" s="446"/>
    </row>
    <row r="539" ht="15.75" customHeight="1">
      <c r="C539" s="108"/>
      <c r="G539" s="113"/>
      <c r="Q539" s="446"/>
    </row>
    <row r="540" ht="15.75" customHeight="1">
      <c r="C540" s="108"/>
      <c r="G540" s="113"/>
      <c r="Q540" s="446"/>
    </row>
    <row r="541" ht="15.75" customHeight="1">
      <c r="C541" s="108"/>
      <c r="G541" s="113"/>
      <c r="Q541" s="446"/>
    </row>
    <row r="542" ht="15.75" customHeight="1">
      <c r="C542" s="108"/>
      <c r="G542" s="113"/>
      <c r="Q542" s="446"/>
    </row>
    <row r="543" ht="15.75" customHeight="1">
      <c r="C543" s="108"/>
      <c r="G543" s="113"/>
      <c r="Q543" s="446"/>
    </row>
    <row r="544" ht="15.75" customHeight="1">
      <c r="C544" s="108"/>
      <c r="G544" s="113"/>
      <c r="Q544" s="446"/>
    </row>
    <row r="545" ht="15.75" customHeight="1">
      <c r="C545" s="108"/>
      <c r="G545" s="113"/>
      <c r="Q545" s="446"/>
    </row>
    <row r="546" ht="15.75" customHeight="1">
      <c r="C546" s="108"/>
      <c r="G546" s="113"/>
      <c r="Q546" s="446"/>
    </row>
    <row r="547" ht="15.75" customHeight="1">
      <c r="C547" s="108"/>
      <c r="G547" s="113"/>
      <c r="Q547" s="446"/>
    </row>
    <row r="548" ht="15.75" customHeight="1">
      <c r="C548" s="108"/>
      <c r="G548" s="113"/>
      <c r="Q548" s="446"/>
    </row>
    <row r="549" ht="15.75" customHeight="1">
      <c r="C549" s="108"/>
      <c r="G549" s="113"/>
      <c r="Q549" s="446"/>
    </row>
    <row r="550" ht="15.75" customHeight="1">
      <c r="C550" s="108"/>
      <c r="G550" s="113"/>
      <c r="Q550" s="446"/>
    </row>
    <row r="551" ht="15.75" customHeight="1">
      <c r="C551" s="108"/>
      <c r="G551" s="113"/>
      <c r="Q551" s="446"/>
    </row>
    <row r="552" ht="15.75" customHeight="1">
      <c r="C552" s="108"/>
      <c r="G552" s="113"/>
      <c r="Q552" s="446"/>
    </row>
    <row r="553" ht="15.75" customHeight="1">
      <c r="C553" s="108"/>
      <c r="G553" s="113"/>
      <c r="Q553" s="446"/>
    </row>
    <row r="554" ht="15.75" customHeight="1">
      <c r="C554" s="108"/>
      <c r="G554" s="113"/>
      <c r="Q554" s="446"/>
    </row>
    <row r="555" ht="15.75" customHeight="1">
      <c r="C555" s="108"/>
      <c r="G555" s="113"/>
      <c r="Q555" s="446"/>
    </row>
    <row r="556" ht="15.75" customHeight="1">
      <c r="C556" s="108"/>
      <c r="G556" s="113"/>
      <c r="Q556" s="446"/>
    </row>
    <row r="557" ht="15.75" customHeight="1">
      <c r="C557" s="108"/>
      <c r="G557" s="113"/>
      <c r="Q557" s="446"/>
    </row>
    <row r="558" ht="15.75" customHeight="1">
      <c r="C558" s="108"/>
      <c r="G558" s="113"/>
      <c r="Q558" s="446"/>
    </row>
    <row r="559" ht="15.75" customHeight="1">
      <c r="C559" s="108"/>
      <c r="G559" s="113"/>
      <c r="Q559" s="446"/>
    </row>
    <row r="560" ht="15.75" customHeight="1">
      <c r="C560" s="108"/>
      <c r="G560" s="113"/>
      <c r="Q560" s="446"/>
    </row>
    <row r="561" ht="15.75" customHeight="1">
      <c r="C561" s="108"/>
      <c r="G561" s="113"/>
      <c r="Q561" s="446"/>
    </row>
    <row r="562" ht="15.75" customHeight="1">
      <c r="C562" s="108"/>
      <c r="G562" s="113"/>
      <c r="Q562" s="446"/>
    </row>
    <row r="563" ht="15.75" customHeight="1">
      <c r="C563" s="108"/>
      <c r="G563" s="113"/>
      <c r="Q563" s="446"/>
    </row>
    <row r="564" ht="15.75" customHeight="1">
      <c r="C564" s="108"/>
      <c r="G564" s="113"/>
      <c r="Q564" s="446"/>
    </row>
    <row r="565" ht="15.75" customHeight="1">
      <c r="C565" s="108"/>
      <c r="G565" s="113"/>
      <c r="Q565" s="446"/>
    </row>
    <row r="566" ht="15.75" customHeight="1">
      <c r="C566" s="108"/>
      <c r="G566" s="113"/>
      <c r="Q566" s="446"/>
    </row>
    <row r="567" ht="15.75" customHeight="1">
      <c r="C567" s="108"/>
      <c r="G567" s="113"/>
      <c r="Q567" s="446"/>
    </row>
    <row r="568" ht="15.75" customHeight="1">
      <c r="C568" s="108"/>
      <c r="G568" s="113"/>
      <c r="Q568" s="446"/>
    </row>
    <row r="569" ht="15.75" customHeight="1">
      <c r="C569" s="108"/>
      <c r="G569" s="113"/>
      <c r="Q569" s="446"/>
    </row>
    <row r="570" ht="15.75" customHeight="1">
      <c r="C570" s="108"/>
      <c r="G570" s="113"/>
      <c r="Q570" s="446"/>
    </row>
    <row r="571" ht="15.75" customHeight="1">
      <c r="C571" s="108"/>
      <c r="G571" s="113"/>
      <c r="Q571" s="446"/>
    </row>
    <row r="572" ht="15.75" customHeight="1">
      <c r="C572" s="108"/>
      <c r="G572" s="113"/>
      <c r="Q572" s="446"/>
    </row>
    <row r="573" ht="15.75" customHeight="1">
      <c r="C573" s="108"/>
      <c r="G573" s="113"/>
      <c r="Q573" s="446"/>
    </row>
    <row r="574" ht="15.75" customHeight="1">
      <c r="C574" s="108"/>
      <c r="G574" s="113"/>
      <c r="Q574" s="446"/>
    </row>
    <row r="575" ht="15.75" customHeight="1">
      <c r="C575" s="108"/>
      <c r="G575" s="113"/>
      <c r="Q575" s="446"/>
    </row>
    <row r="576" ht="15.75" customHeight="1">
      <c r="C576" s="108"/>
      <c r="G576" s="113"/>
      <c r="Q576" s="446"/>
    </row>
    <row r="577" ht="15.75" customHeight="1">
      <c r="C577" s="108"/>
      <c r="G577" s="113"/>
      <c r="Q577" s="446"/>
    </row>
    <row r="578" ht="15.75" customHeight="1">
      <c r="C578" s="108"/>
      <c r="G578" s="113"/>
      <c r="Q578" s="446"/>
    </row>
    <row r="579" ht="15.75" customHeight="1">
      <c r="C579" s="108"/>
      <c r="G579" s="113"/>
      <c r="Q579" s="446"/>
    </row>
    <row r="580" ht="15.75" customHeight="1">
      <c r="C580" s="108"/>
      <c r="G580" s="113"/>
      <c r="Q580" s="446"/>
    </row>
    <row r="581" ht="15.75" customHeight="1">
      <c r="C581" s="108"/>
      <c r="G581" s="113"/>
      <c r="Q581" s="446"/>
    </row>
    <row r="582" ht="15.75" customHeight="1">
      <c r="C582" s="108"/>
      <c r="G582" s="113"/>
      <c r="Q582" s="446"/>
    </row>
    <row r="583" ht="15.75" customHeight="1">
      <c r="C583" s="108"/>
      <c r="G583" s="113"/>
      <c r="Q583" s="446"/>
    </row>
    <row r="584" ht="15.75" customHeight="1">
      <c r="C584" s="108"/>
      <c r="G584" s="113"/>
      <c r="Q584" s="446"/>
    </row>
    <row r="585" ht="15.75" customHeight="1">
      <c r="C585" s="108"/>
      <c r="G585" s="113"/>
      <c r="Q585" s="446"/>
    </row>
    <row r="586" ht="15.75" customHeight="1">
      <c r="C586" s="108"/>
      <c r="G586" s="113"/>
      <c r="Q586" s="446"/>
    </row>
    <row r="587" ht="15.75" customHeight="1">
      <c r="C587" s="108"/>
      <c r="G587" s="113"/>
      <c r="Q587" s="446"/>
    </row>
    <row r="588" ht="15.75" customHeight="1">
      <c r="C588" s="108"/>
      <c r="G588" s="113"/>
      <c r="Q588" s="446"/>
    </row>
    <row r="589" ht="15.75" customHeight="1">
      <c r="C589" s="108"/>
      <c r="G589" s="113"/>
      <c r="Q589" s="446"/>
    </row>
    <row r="590" ht="15.75" customHeight="1">
      <c r="C590" s="108"/>
      <c r="G590" s="113"/>
      <c r="Q590" s="446"/>
    </row>
    <row r="591" ht="15.75" customHeight="1">
      <c r="C591" s="108"/>
      <c r="G591" s="113"/>
      <c r="Q591" s="446"/>
    </row>
    <row r="592" ht="15.75" customHeight="1">
      <c r="C592" s="108"/>
      <c r="G592" s="113"/>
      <c r="Q592" s="446"/>
    </row>
    <row r="593" ht="15.75" customHeight="1">
      <c r="C593" s="108"/>
      <c r="G593" s="113"/>
      <c r="Q593" s="446"/>
    </row>
    <row r="594" ht="15.75" customHeight="1">
      <c r="C594" s="108"/>
      <c r="G594" s="113"/>
      <c r="Q594" s="446"/>
    </row>
    <row r="595" ht="15.75" customHeight="1">
      <c r="C595" s="108"/>
      <c r="G595" s="113"/>
      <c r="Q595" s="446"/>
    </row>
    <row r="596" ht="15.75" customHeight="1">
      <c r="C596" s="108"/>
      <c r="G596" s="113"/>
      <c r="Q596" s="446"/>
    </row>
    <row r="597" ht="15.75" customHeight="1">
      <c r="C597" s="108"/>
      <c r="G597" s="113"/>
      <c r="Q597" s="446"/>
    </row>
    <row r="598" ht="15.75" customHeight="1">
      <c r="C598" s="108"/>
      <c r="G598" s="113"/>
      <c r="Q598" s="446"/>
    </row>
    <row r="599" ht="15.75" customHeight="1">
      <c r="C599" s="108"/>
      <c r="G599" s="113"/>
      <c r="Q599" s="446"/>
    </row>
    <row r="600" ht="15.75" customHeight="1">
      <c r="C600" s="108"/>
      <c r="G600" s="113"/>
      <c r="Q600" s="446"/>
    </row>
    <row r="601" ht="15.75" customHeight="1">
      <c r="C601" s="108"/>
      <c r="G601" s="113"/>
      <c r="Q601" s="446"/>
    </row>
    <row r="602" ht="15.75" customHeight="1">
      <c r="C602" s="108"/>
      <c r="G602" s="113"/>
      <c r="Q602" s="446"/>
    </row>
    <row r="603" ht="15.75" customHeight="1">
      <c r="C603" s="108"/>
      <c r="G603" s="113"/>
      <c r="Q603" s="446"/>
    </row>
    <row r="604" ht="15.75" customHeight="1">
      <c r="C604" s="108"/>
      <c r="G604" s="113"/>
      <c r="Q604" s="446"/>
    </row>
    <row r="605" ht="15.75" customHeight="1">
      <c r="C605" s="108"/>
      <c r="G605" s="113"/>
      <c r="Q605" s="446"/>
    </row>
    <row r="606" ht="15.75" customHeight="1">
      <c r="C606" s="108"/>
      <c r="G606" s="113"/>
      <c r="Q606" s="446"/>
    </row>
    <row r="607" ht="15.75" customHeight="1">
      <c r="C607" s="108"/>
      <c r="G607" s="113"/>
      <c r="Q607" s="446"/>
    </row>
    <row r="608" ht="15.75" customHeight="1">
      <c r="C608" s="108"/>
      <c r="G608" s="113"/>
      <c r="Q608" s="446"/>
    </row>
    <row r="609" ht="15.75" customHeight="1">
      <c r="C609" s="108"/>
      <c r="G609" s="113"/>
      <c r="Q609" s="446"/>
    </row>
    <row r="610" ht="15.75" customHeight="1">
      <c r="C610" s="108"/>
      <c r="G610" s="113"/>
      <c r="Q610" s="446"/>
    </row>
    <row r="611" ht="15.75" customHeight="1">
      <c r="C611" s="108"/>
      <c r="G611" s="113"/>
      <c r="Q611" s="446"/>
    </row>
    <row r="612" ht="15.75" customHeight="1">
      <c r="C612" s="108"/>
      <c r="G612" s="113"/>
      <c r="Q612" s="446"/>
    </row>
    <row r="613" ht="15.75" customHeight="1">
      <c r="C613" s="108"/>
      <c r="G613" s="113"/>
      <c r="Q613" s="446"/>
    </row>
    <row r="614" ht="15.75" customHeight="1">
      <c r="C614" s="108"/>
      <c r="G614" s="113"/>
      <c r="Q614" s="446"/>
    </row>
    <row r="615" ht="15.75" customHeight="1">
      <c r="C615" s="108"/>
      <c r="G615" s="113"/>
      <c r="Q615" s="446"/>
    </row>
    <row r="616" ht="15.75" customHeight="1">
      <c r="C616" s="108"/>
      <c r="G616" s="113"/>
      <c r="Q616" s="446"/>
    </row>
    <row r="617" ht="15.75" customHeight="1">
      <c r="C617" s="108"/>
      <c r="G617" s="113"/>
      <c r="Q617" s="446"/>
    </row>
    <row r="618" ht="15.75" customHeight="1">
      <c r="C618" s="108"/>
      <c r="G618" s="113"/>
      <c r="Q618" s="446"/>
    </row>
    <row r="619" ht="15.75" customHeight="1">
      <c r="C619" s="108"/>
      <c r="G619" s="113"/>
      <c r="Q619" s="446"/>
    </row>
    <row r="620" ht="15.75" customHeight="1">
      <c r="C620" s="108"/>
      <c r="G620" s="113"/>
      <c r="Q620" s="446"/>
    </row>
    <row r="621" ht="15.75" customHeight="1">
      <c r="C621" s="108"/>
      <c r="G621" s="113"/>
      <c r="Q621" s="446"/>
    </row>
    <row r="622" ht="15.75" customHeight="1">
      <c r="C622" s="108"/>
      <c r="G622" s="113"/>
      <c r="Q622" s="446"/>
    </row>
    <row r="623" ht="15.75" customHeight="1">
      <c r="C623" s="108"/>
      <c r="G623" s="113"/>
      <c r="Q623" s="446"/>
    </row>
    <row r="624" ht="15.75" customHeight="1">
      <c r="C624" s="108"/>
      <c r="G624" s="113"/>
      <c r="Q624" s="446"/>
    </row>
    <row r="625" ht="15.75" customHeight="1">
      <c r="C625" s="108"/>
      <c r="G625" s="113"/>
      <c r="Q625" s="446"/>
    </row>
    <row r="626" ht="15.75" customHeight="1">
      <c r="C626" s="108"/>
      <c r="G626" s="113"/>
      <c r="Q626" s="446"/>
    </row>
    <row r="627" ht="15.75" customHeight="1">
      <c r="C627" s="108"/>
      <c r="G627" s="113"/>
      <c r="Q627" s="446"/>
    </row>
    <row r="628" ht="15.75" customHeight="1">
      <c r="C628" s="108"/>
      <c r="G628" s="113"/>
      <c r="Q628" s="446"/>
    </row>
    <row r="629" ht="15.75" customHeight="1">
      <c r="C629" s="108"/>
      <c r="G629" s="113"/>
      <c r="Q629" s="446"/>
    </row>
    <row r="630" ht="15.75" customHeight="1">
      <c r="C630" s="108"/>
      <c r="G630" s="113"/>
      <c r="Q630" s="446"/>
    </row>
    <row r="631" ht="15.75" customHeight="1">
      <c r="C631" s="108"/>
      <c r="G631" s="113"/>
      <c r="Q631" s="446"/>
    </row>
    <row r="632" ht="15.75" customHeight="1">
      <c r="C632" s="108"/>
      <c r="G632" s="113"/>
      <c r="Q632" s="446"/>
    </row>
    <row r="633" ht="15.75" customHeight="1">
      <c r="C633" s="108"/>
      <c r="G633" s="113"/>
      <c r="Q633" s="446"/>
    </row>
    <row r="634" ht="15.75" customHeight="1">
      <c r="C634" s="108"/>
      <c r="G634" s="113"/>
      <c r="Q634" s="446"/>
    </row>
    <row r="635" ht="15.75" customHeight="1">
      <c r="C635" s="108"/>
      <c r="G635" s="113"/>
      <c r="Q635" s="446"/>
    </row>
    <row r="636" ht="15.75" customHeight="1">
      <c r="C636" s="108"/>
      <c r="G636" s="113"/>
      <c r="Q636" s="446"/>
    </row>
    <row r="637" ht="15.75" customHeight="1">
      <c r="C637" s="108"/>
      <c r="G637" s="113"/>
      <c r="Q637" s="446"/>
    </row>
    <row r="638" ht="15.75" customHeight="1">
      <c r="C638" s="108"/>
      <c r="G638" s="113"/>
      <c r="Q638" s="446"/>
    </row>
    <row r="639" ht="15.75" customHeight="1">
      <c r="C639" s="108"/>
      <c r="G639" s="113"/>
      <c r="Q639" s="446"/>
    </row>
    <row r="640" ht="15.75" customHeight="1">
      <c r="C640" s="108"/>
      <c r="G640" s="113"/>
      <c r="Q640" s="446"/>
    </row>
    <row r="641" ht="15.75" customHeight="1">
      <c r="C641" s="108"/>
      <c r="G641" s="113"/>
      <c r="Q641" s="446"/>
    </row>
    <row r="642" ht="15.75" customHeight="1">
      <c r="C642" s="108"/>
      <c r="G642" s="113"/>
      <c r="Q642" s="446"/>
    </row>
    <row r="643" ht="15.75" customHeight="1">
      <c r="C643" s="108"/>
      <c r="G643" s="113"/>
      <c r="Q643" s="446"/>
    </row>
    <row r="644" ht="15.75" customHeight="1">
      <c r="C644" s="108"/>
      <c r="G644" s="113"/>
      <c r="Q644" s="446"/>
    </row>
    <row r="645" ht="15.75" customHeight="1">
      <c r="C645" s="108"/>
      <c r="G645" s="113"/>
      <c r="Q645" s="446"/>
    </row>
    <row r="646" ht="15.75" customHeight="1">
      <c r="C646" s="108"/>
      <c r="G646" s="113"/>
      <c r="Q646" s="446"/>
    </row>
    <row r="647" ht="15.75" customHeight="1">
      <c r="C647" s="108"/>
      <c r="G647" s="113"/>
      <c r="Q647" s="446"/>
    </row>
    <row r="648" ht="15.75" customHeight="1">
      <c r="C648" s="108"/>
      <c r="G648" s="113"/>
      <c r="Q648" s="446"/>
    </row>
    <row r="649" ht="15.75" customHeight="1">
      <c r="C649" s="108"/>
      <c r="G649" s="113"/>
      <c r="Q649" s="446"/>
    </row>
    <row r="650" ht="15.75" customHeight="1">
      <c r="C650" s="108"/>
      <c r="G650" s="113"/>
      <c r="Q650" s="446"/>
    </row>
    <row r="651" ht="15.75" customHeight="1">
      <c r="C651" s="108"/>
      <c r="G651" s="113"/>
      <c r="Q651" s="446"/>
    </row>
    <row r="652" ht="15.75" customHeight="1">
      <c r="C652" s="108"/>
      <c r="G652" s="113"/>
      <c r="Q652" s="446"/>
    </row>
    <row r="653" ht="15.75" customHeight="1">
      <c r="C653" s="108"/>
      <c r="G653" s="113"/>
      <c r="Q653" s="446"/>
    </row>
    <row r="654" ht="15.75" customHeight="1">
      <c r="C654" s="108"/>
      <c r="G654" s="113"/>
      <c r="Q654" s="446"/>
    </row>
    <row r="655" ht="15.75" customHeight="1">
      <c r="C655" s="108"/>
      <c r="G655" s="113"/>
      <c r="Q655" s="446"/>
    </row>
    <row r="656" ht="15.75" customHeight="1">
      <c r="C656" s="108"/>
      <c r="G656" s="113"/>
      <c r="Q656" s="446"/>
    </row>
    <row r="657" ht="15.75" customHeight="1">
      <c r="C657" s="108"/>
      <c r="G657" s="113"/>
      <c r="Q657" s="446"/>
    </row>
    <row r="658" ht="15.75" customHeight="1">
      <c r="C658" s="108"/>
      <c r="G658" s="113"/>
      <c r="Q658" s="446"/>
    </row>
    <row r="659" ht="15.75" customHeight="1">
      <c r="C659" s="108"/>
      <c r="G659" s="113"/>
      <c r="Q659" s="446"/>
    </row>
    <row r="660" ht="15.75" customHeight="1">
      <c r="C660" s="108"/>
      <c r="G660" s="113"/>
      <c r="Q660" s="446"/>
    </row>
    <row r="661" ht="15.75" customHeight="1">
      <c r="C661" s="108"/>
      <c r="G661" s="113"/>
      <c r="Q661" s="446"/>
    </row>
    <row r="662" ht="15.75" customHeight="1">
      <c r="C662" s="108"/>
      <c r="G662" s="113"/>
      <c r="Q662" s="446"/>
    </row>
    <row r="663" ht="15.75" customHeight="1">
      <c r="C663" s="108"/>
      <c r="G663" s="113"/>
      <c r="Q663" s="446"/>
    </row>
    <row r="664" ht="15.75" customHeight="1">
      <c r="C664" s="108"/>
      <c r="G664" s="113"/>
      <c r="Q664" s="446"/>
    </row>
    <row r="665" ht="15.75" customHeight="1">
      <c r="C665" s="108"/>
      <c r="G665" s="113"/>
      <c r="Q665" s="446"/>
    </row>
    <row r="666" ht="15.75" customHeight="1">
      <c r="C666" s="108"/>
      <c r="G666" s="113"/>
      <c r="Q666" s="446"/>
    </row>
    <row r="667" ht="15.75" customHeight="1">
      <c r="C667" s="108"/>
      <c r="G667" s="113"/>
      <c r="Q667" s="446"/>
    </row>
    <row r="668" ht="15.75" customHeight="1">
      <c r="C668" s="108"/>
      <c r="G668" s="113"/>
      <c r="Q668" s="446"/>
    </row>
    <row r="669" ht="15.75" customHeight="1">
      <c r="C669" s="108"/>
      <c r="G669" s="113"/>
      <c r="Q669" s="446"/>
    </row>
    <row r="670" ht="15.75" customHeight="1">
      <c r="C670" s="108"/>
      <c r="G670" s="113"/>
      <c r="Q670" s="446"/>
    </row>
    <row r="671" ht="15.75" customHeight="1">
      <c r="C671" s="108"/>
      <c r="G671" s="113"/>
      <c r="Q671" s="446"/>
    </row>
    <row r="672" ht="15.75" customHeight="1">
      <c r="C672" s="108"/>
      <c r="G672" s="113"/>
      <c r="Q672" s="446"/>
    </row>
    <row r="673" ht="15.75" customHeight="1">
      <c r="C673" s="108"/>
      <c r="G673" s="113"/>
      <c r="Q673" s="446"/>
    </row>
    <row r="674" ht="15.75" customHeight="1">
      <c r="C674" s="108"/>
      <c r="G674" s="113"/>
      <c r="Q674" s="446"/>
    </row>
    <row r="675" ht="15.75" customHeight="1">
      <c r="C675" s="108"/>
      <c r="G675" s="113"/>
      <c r="Q675" s="446"/>
    </row>
    <row r="676" ht="15.75" customHeight="1">
      <c r="C676" s="108"/>
      <c r="G676" s="113"/>
      <c r="Q676" s="446"/>
    </row>
    <row r="677" ht="15.75" customHeight="1">
      <c r="C677" s="108"/>
      <c r="G677" s="113"/>
      <c r="Q677" s="446"/>
    </row>
    <row r="678" ht="15.75" customHeight="1">
      <c r="C678" s="108"/>
      <c r="G678" s="113"/>
      <c r="Q678" s="446"/>
    </row>
    <row r="679" ht="15.75" customHeight="1">
      <c r="C679" s="108"/>
      <c r="G679" s="113"/>
      <c r="Q679" s="446"/>
    </row>
    <row r="680" ht="15.75" customHeight="1">
      <c r="C680" s="108"/>
      <c r="G680" s="113"/>
      <c r="Q680" s="446"/>
    </row>
    <row r="681" ht="15.75" customHeight="1">
      <c r="C681" s="108"/>
      <c r="G681" s="113"/>
      <c r="Q681" s="446"/>
    </row>
    <row r="682" ht="15.75" customHeight="1">
      <c r="C682" s="108"/>
      <c r="G682" s="113"/>
      <c r="Q682" s="446"/>
    </row>
    <row r="683" ht="15.75" customHeight="1">
      <c r="C683" s="108"/>
      <c r="G683" s="113"/>
      <c r="Q683" s="446"/>
    </row>
    <row r="684" ht="15.75" customHeight="1">
      <c r="C684" s="108"/>
      <c r="G684" s="113"/>
      <c r="Q684" s="446"/>
    </row>
    <row r="685" ht="15.75" customHeight="1">
      <c r="C685" s="108"/>
      <c r="G685" s="113"/>
      <c r="Q685" s="446"/>
    </row>
    <row r="686" ht="15.75" customHeight="1">
      <c r="C686" s="108"/>
      <c r="G686" s="113"/>
      <c r="Q686" s="446"/>
    </row>
    <row r="687" ht="15.75" customHeight="1">
      <c r="C687" s="108"/>
      <c r="G687" s="113"/>
      <c r="Q687" s="446"/>
    </row>
    <row r="688" ht="15.75" customHeight="1">
      <c r="C688" s="108"/>
      <c r="G688" s="113"/>
      <c r="Q688" s="446"/>
    </row>
    <row r="689" ht="15.75" customHeight="1">
      <c r="C689" s="108"/>
      <c r="G689" s="113"/>
      <c r="Q689" s="446"/>
    </row>
    <row r="690" ht="15.75" customHeight="1">
      <c r="C690" s="108"/>
      <c r="G690" s="113"/>
      <c r="Q690" s="446"/>
    </row>
    <row r="691" ht="15.75" customHeight="1">
      <c r="C691" s="108"/>
      <c r="G691" s="113"/>
      <c r="Q691" s="446"/>
    </row>
    <row r="692" ht="15.75" customHeight="1">
      <c r="C692" s="108"/>
      <c r="G692" s="113"/>
      <c r="Q692" s="446"/>
    </row>
    <row r="693" ht="15.75" customHeight="1">
      <c r="C693" s="108"/>
      <c r="G693" s="113"/>
      <c r="Q693" s="446"/>
    </row>
    <row r="694" ht="15.75" customHeight="1">
      <c r="C694" s="108"/>
      <c r="G694" s="113"/>
      <c r="Q694" s="446"/>
    </row>
    <row r="695" ht="15.75" customHeight="1">
      <c r="C695" s="108"/>
      <c r="G695" s="113"/>
      <c r="Q695" s="446"/>
    </row>
    <row r="696" ht="15.75" customHeight="1">
      <c r="C696" s="108"/>
      <c r="G696" s="113"/>
      <c r="Q696" s="446"/>
    </row>
    <row r="697" ht="15.75" customHeight="1">
      <c r="C697" s="108"/>
      <c r="G697" s="113"/>
      <c r="Q697" s="446"/>
    </row>
    <row r="698" ht="15.75" customHeight="1">
      <c r="C698" s="108"/>
      <c r="G698" s="113"/>
      <c r="Q698" s="446"/>
    </row>
    <row r="699" ht="15.75" customHeight="1">
      <c r="C699" s="108"/>
      <c r="G699" s="113"/>
      <c r="Q699" s="446"/>
    </row>
    <row r="700" ht="15.75" customHeight="1">
      <c r="C700" s="108"/>
      <c r="G700" s="113"/>
      <c r="Q700" s="446"/>
    </row>
    <row r="701" ht="15.75" customHeight="1">
      <c r="C701" s="108"/>
      <c r="G701" s="113"/>
      <c r="Q701" s="446"/>
    </row>
    <row r="702" ht="15.75" customHeight="1">
      <c r="C702" s="108"/>
      <c r="G702" s="113"/>
      <c r="Q702" s="446"/>
    </row>
    <row r="703" ht="15.75" customHeight="1">
      <c r="C703" s="108"/>
      <c r="G703" s="113"/>
      <c r="Q703" s="446"/>
    </row>
    <row r="704" ht="15.75" customHeight="1">
      <c r="C704" s="108"/>
      <c r="G704" s="113"/>
      <c r="Q704" s="446"/>
    </row>
    <row r="705" ht="15.75" customHeight="1">
      <c r="C705" s="108"/>
      <c r="G705" s="113"/>
      <c r="Q705" s="446"/>
    </row>
    <row r="706" ht="15.75" customHeight="1">
      <c r="C706" s="108"/>
      <c r="G706" s="113"/>
      <c r="Q706" s="446"/>
    </row>
    <row r="707" ht="15.75" customHeight="1">
      <c r="C707" s="108"/>
      <c r="G707" s="113"/>
      <c r="Q707" s="446"/>
    </row>
    <row r="708" ht="15.75" customHeight="1">
      <c r="C708" s="108"/>
      <c r="G708" s="113"/>
      <c r="Q708" s="446"/>
    </row>
    <row r="709" ht="15.75" customHeight="1">
      <c r="C709" s="108"/>
      <c r="G709" s="113"/>
      <c r="Q709" s="446"/>
    </row>
    <row r="710" ht="15.75" customHeight="1">
      <c r="C710" s="108"/>
      <c r="G710" s="113"/>
      <c r="Q710" s="446"/>
    </row>
    <row r="711" ht="15.75" customHeight="1">
      <c r="C711" s="108"/>
      <c r="G711" s="113"/>
      <c r="Q711" s="446"/>
    </row>
    <row r="712" ht="15.75" customHeight="1">
      <c r="C712" s="108"/>
      <c r="G712" s="113"/>
      <c r="Q712" s="446"/>
    </row>
    <row r="713" ht="15.75" customHeight="1">
      <c r="C713" s="108"/>
      <c r="G713" s="113"/>
      <c r="Q713" s="446"/>
    </row>
    <row r="714" ht="15.75" customHeight="1">
      <c r="C714" s="108"/>
      <c r="G714" s="113"/>
      <c r="Q714" s="446"/>
    </row>
    <row r="715" ht="15.75" customHeight="1">
      <c r="C715" s="108"/>
      <c r="G715" s="113"/>
      <c r="Q715" s="446"/>
    </row>
    <row r="716" ht="15.75" customHeight="1">
      <c r="C716" s="108"/>
      <c r="G716" s="113"/>
      <c r="Q716" s="446"/>
    </row>
    <row r="717" ht="15.75" customHeight="1">
      <c r="C717" s="108"/>
      <c r="G717" s="113"/>
      <c r="Q717" s="446"/>
    </row>
    <row r="718" ht="15.75" customHeight="1">
      <c r="C718" s="108"/>
      <c r="G718" s="113"/>
      <c r="Q718" s="446"/>
    </row>
    <row r="719" ht="15.75" customHeight="1">
      <c r="C719" s="108"/>
      <c r="G719" s="113"/>
      <c r="Q719" s="446"/>
    </row>
    <row r="720" ht="15.75" customHeight="1">
      <c r="C720" s="108"/>
      <c r="G720" s="113"/>
      <c r="Q720" s="446"/>
    </row>
    <row r="721" ht="15.75" customHeight="1">
      <c r="C721" s="108"/>
      <c r="G721" s="113"/>
      <c r="Q721" s="446"/>
    </row>
    <row r="722" ht="15.75" customHeight="1">
      <c r="C722" s="108"/>
      <c r="G722" s="113"/>
      <c r="Q722" s="446"/>
    </row>
    <row r="723" ht="15.75" customHeight="1">
      <c r="C723" s="108"/>
      <c r="G723" s="113"/>
      <c r="Q723" s="446"/>
    </row>
    <row r="724" ht="15.75" customHeight="1">
      <c r="C724" s="108"/>
      <c r="G724" s="113"/>
      <c r="Q724" s="446"/>
    </row>
    <row r="725" ht="15.75" customHeight="1">
      <c r="C725" s="108"/>
      <c r="G725" s="113"/>
      <c r="Q725" s="446"/>
    </row>
    <row r="726" ht="15.75" customHeight="1">
      <c r="C726" s="108"/>
      <c r="G726" s="113"/>
      <c r="Q726" s="446"/>
    </row>
    <row r="727" ht="15.75" customHeight="1">
      <c r="C727" s="108"/>
      <c r="G727" s="113"/>
      <c r="Q727" s="446"/>
    </row>
    <row r="728" ht="15.75" customHeight="1">
      <c r="C728" s="108"/>
      <c r="G728" s="113"/>
      <c r="Q728" s="446"/>
    </row>
    <row r="729" ht="15.75" customHeight="1">
      <c r="C729" s="108"/>
      <c r="G729" s="113"/>
      <c r="Q729" s="446"/>
    </row>
    <row r="730" ht="15.75" customHeight="1">
      <c r="C730" s="108"/>
      <c r="G730" s="113"/>
      <c r="Q730" s="446"/>
    </row>
    <row r="731" ht="15.75" customHeight="1">
      <c r="C731" s="108"/>
      <c r="G731" s="113"/>
      <c r="Q731" s="446"/>
    </row>
    <row r="732" ht="15.75" customHeight="1">
      <c r="C732" s="108"/>
      <c r="G732" s="113"/>
      <c r="Q732" s="446"/>
    </row>
    <row r="733" ht="15.75" customHeight="1">
      <c r="C733" s="108"/>
      <c r="G733" s="113"/>
      <c r="Q733" s="446"/>
    </row>
    <row r="734" ht="15.75" customHeight="1">
      <c r="C734" s="108"/>
      <c r="G734" s="113"/>
      <c r="Q734" s="446"/>
    </row>
    <row r="735" ht="15.75" customHeight="1">
      <c r="C735" s="108"/>
      <c r="G735" s="113"/>
      <c r="Q735" s="446"/>
    </row>
    <row r="736" ht="15.75" customHeight="1">
      <c r="C736" s="108"/>
      <c r="G736" s="113"/>
      <c r="Q736" s="446"/>
    </row>
    <row r="737" ht="15.75" customHeight="1">
      <c r="C737" s="108"/>
      <c r="G737" s="113"/>
      <c r="Q737" s="446"/>
    </row>
    <row r="738" ht="15.75" customHeight="1">
      <c r="C738" s="108"/>
      <c r="G738" s="113"/>
      <c r="Q738" s="446"/>
    </row>
    <row r="739" ht="15.75" customHeight="1">
      <c r="C739" s="108"/>
      <c r="G739" s="113"/>
      <c r="Q739" s="446"/>
    </row>
    <row r="740" ht="15.75" customHeight="1">
      <c r="C740" s="108"/>
      <c r="G740" s="113"/>
      <c r="Q740" s="446"/>
    </row>
    <row r="741" ht="15.75" customHeight="1">
      <c r="C741" s="108"/>
      <c r="G741" s="113"/>
      <c r="Q741" s="446"/>
    </row>
    <row r="742" ht="15.75" customHeight="1">
      <c r="C742" s="108"/>
      <c r="G742" s="113"/>
      <c r="Q742" s="446"/>
    </row>
    <row r="743" ht="15.75" customHeight="1">
      <c r="C743" s="108"/>
      <c r="G743" s="113"/>
      <c r="Q743" s="446"/>
    </row>
    <row r="744" ht="15.75" customHeight="1">
      <c r="C744" s="108"/>
      <c r="G744" s="113"/>
      <c r="Q744" s="446"/>
    </row>
    <row r="745" ht="15.75" customHeight="1">
      <c r="C745" s="108"/>
      <c r="G745" s="113"/>
      <c r="Q745" s="446"/>
    </row>
    <row r="746" ht="15.75" customHeight="1">
      <c r="C746" s="108"/>
      <c r="G746" s="113"/>
      <c r="Q746" s="446"/>
    </row>
    <row r="747" ht="15.75" customHeight="1">
      <c r="C747" s="108"/>
      <c r="G747" s="113"/>
      <c r="Q747" s="446"/>
    </row>
    <row r="748" ht="15.75" customHeight="1">
      <c r="C748" s="108"/>
      <c r="G748" s="113"/>
      <c r="Q748" s="446"/>
    </row>
    <row r="749" ht="15.75" customHeight="1">
      <c r="C749" s="108"/>
      <c r="G749" s="113"/>
      <c r="Q749" s="446"/>
    </row>
    <row r="750" ht="15.75" customHeight="1">
      <c r="C750" s="108"/>
      <c r="G750" s="113"/>
      <c r="Q750" s="446"/>
    </row>
    <row r="751" ht="15.75" customHeight="1">
      <c r="C751" s="108"/>
      <c r="G751" s="113"/>
      <c r="Q751" s="446"/>
    </row>
    <row r="752" ht="15.75" customHeight="1">
      <c r="C752" s="108"/>
      <c r="G752" s="113"/>
      <c r="Q752" s="446"/>
    </row>
    <row r="753" ht="15.75" customHeight="1">
      <c r="C753" s="108"/>
      <c r="G753" s="113"/>
      <c r="Q753" s="446"/>
    </row>
    <row r="754" ht="15.75" customHeight="1">
      <c r="C754" s="108"/>
      <c r="G754" s="113"/>
      <c r="Q754" s="446"/>
    </row>
    <row r="755" ht="15.75" customHeight="1">
      <c r="C755" s="108"/>
      <c r="G755" s="113"/>
      <c r="Q755" s="446"/>
    </row>
    <row r="756" ht="15.75" customHeight="1">
      <c r="C756" s="108"/>
      <c r="G756" s="113"/>
      <c r="Q756" s="446"/>
    </row>
    <row r="757" ht="15.75" customHeight="1">
      <c r="C757" s="108"/>
      <c r="G757" s="113"/>
      <c r="Q757" s="446"/>
    </row>
    <row r="758" ht="15.75" customHeight="1">
      <c r="C758" s="108"/>
      <c r="G758" s="113"/>
      <c r="Q758" s="446"/>
    </row>
    <row r="759" ht="15.75" customHeight="1">
      <c r="C759" s="108"/>
      <c r="G759" s="113"/>
      <c r="Q759" s="446"/>
    </row>
    <row r="760" ht="15.75" customHeight="1">
      <c r="C760" s="108"/>
      <c r="G760" s="113"/>
      <c r="Q760" s="446"/>
    </row>
    <row r="761" ht="15.75" customHeight="1">
      <c r="C761" s="108"/>
      <c r="G761" s="113"/>
      <c r="Q761" s="446"/>
    </row>
    <row r="762" ht="15.75" customHeight="1">
      <c r="C762" s="108"/>
      <c r="G762" s="113"/>
      <c r="Q762" s="446"/>
    </row>
    <row r="763" ht="15.75" customHeight="1">
      <c r="C763" s="108"/>
      <c r="G763" s="113"/>
      <c r="Q763" s="446"/>
    </row>
    <row r="764" ht="15.75" customHeight="1">
      <c r="C764" s="108"/>
      <c r="G764" s="113"/>
      <c r="Q764" s="446"/>
    </row>
    <row r="765" ht="15.75" customHeight="1">
      <c r="C765" s="108"/>
      <c r="G765" s="113"/>
      <c r="Q765" s="446"/>
    </row>
    <row r="766" ht="15.75" customHeight="1">
      <c r="C766" s="108"/>
      <c r="G766" s="113"/>
      <c r="Q766" s="446"/>
    </row>
    <row r="767" ht="15.75" customHeight="1">
      <c r="C767" s="108"/>
      <c r="G767" s="113"/>
      <c r="Q767" s="446"/>
    </row>
    <row r="768" ht="15.75" customHeight="1">
      <c r="C768" s="108"/>
      <c r="G768" s="113"/>
      <c r="Q768" s="446"/>
    </row>
    <row r="769" ht="15.75" customHeight="1">
      <c r="C769" s="108"/>
      <c r="G769" s="113"/>
      <c r="Q769" s="446"/>
    </row>
    <row r="770" ht="15.75" customHeight="1">
      <c r="C770" s="108"/>
      <c r="G770" s="113"/>
      <c r="Q770" s="446"/>
    </row>
    <row r="771" ht="15.75" customHeight="1">
      <c r="C771" s="108"/>
      <c r="G771" s="113"/>
      <c r="Q771" s="446"/>
    </row>
    <row r="772" ht="15.75" customHeight="1">
      <c r="C772" s="108"/>
      <c r="G772" s="113"/>
      <c r="Q772" s="446"/>
    </row>
    <row r="773" ht="15.75" customHeight="1">
      <c r="C773" s="108"/>
      <c r="G773" s="113"/>
      <c r="Q773" s="446"/>
    </row>
    <row r="774" ht="15.75" customHeight="1">
      <c r="C774" s="108"/>
      <c r="G774" s="113"/>
      <c r="Q774" s="446"/>
    </row>
    <row r="775" ht="15.75" customHeight="1">
      <c r="C775" s="108"/>
      <c r="G775" s="113"/>
      <c r="Q775" s="446"/>
    </row>
    <row r="776" ht="15.75" customHeight="1">
      <c r="C776" s="108"/>
      <c r="G776" s="113"/>
      <c r="Q776" s="446"/>
    </row>
    <row r="777" ht="15.75" customHeight="1">
      <c r="C777" s="108"/>
      <c r="G777" s="113"/>
      <c r="Q777" s="446"/>
    </row>
    <row r="778" ht="15.75" customHeight="1">
      <c r="C778" s="108"/>
      <c r="G778" s="113"/>
      <c r="Q778" s="446"/>
    </row>
    <row r="779" ht="15.75" customHeight="1">
      <c r="C779" s="108"/>
      <c r="G779" s="113"/>
      <c r="Q779" s="446"/>
    </row>
    <row r="780" ht="15.75" customHeight="1">
      <c r="C780" s="108"/>
      <c r="G780" s="113"/>
      <c r="Q780" s="446"/>
    </row>
    <row r="781" ht="15.75" customHeight="1">
      <c r="C781" s="108"/>
      <c r="G781" s="113"/>
      <c r="Q781" s="446"/>
    </row>
    <row r="782" ht="15.75" customHeight="1">
      <c r="C782" s="108"/>
      <c r="G782" s="113"/>
      <c r="Q782" s="446"/>
    </row>
    <row r="783" ht="15.75" customHeight="1">
      <c r="C783" s="108"/>
      <c r="G783" s="113"/>
      <c r="Q783" s="446"/>
    </row>
    <row r="784" ht="15.75" customHeight="1">
      <c r="C784" s="108"/>
      <c r="G784" s="113"/>
      <c r="Q784" s="446"/>
    </row>
    <row r="785" ht="15.75" customHeight="1">
      <c r="C785" s="108"/>
      <c r="G785" s="113"/>
      <c r="Q785" s="446"/>
    </row>
    <row r="786" ht="15.75" customHeight="1">
      <c r="C786" s="108"/>
      <c r="G786" s="113"/>
      <c r="Q786" s="446"/>
    </row>
    <row r="787" ht="15.75" customHeight="1">
      <c r="C787" s="108"/>
      <c r="G787" s="113"/>
      <c r="Q787" s="446"/>
    </row>
    <row r="788" ht="15.75" customHeight="1">
      <c r="C788" s="108"/>
      <c r="G788" s="113"/>
      <c r="Q788" s="446"/>
    </row>
    <row r="789" ht="15.75" customHeight="1">
      <c r="C789" s="108"/>
      <c r="G789" s="113"/>
      <c r="Q789" s="446"/>
    </row>
    <row r="790" ht="15.75" customHeight="1">
      <c r="C790" s="108"/>
      <c r="G790" s="113"/>
      <c r="Q790" s="446"/>
    </row>
    <row r="791" ht="15.75" customHeight="1">
      <c r="C791" s="108"/>
      <c r="G791" s="113"/>
      <c r="Q791" s="446"/>
    </row>
    <row r="792" ht="15.75" customHeight="1">
      <c r="C792" s="108"/>
      <c r="G792" s="113"/>
      <c r="Q792" s="446"/>
    </row>
    <row r="793" ht="15.75" customHeight="1">
      <c r="C793" s="108"/>
      <c r="G793" s="113"/>
      <c r="Q793" s="446"/>
    </row>
    <row r="794" ht="15.75" customHeight="1">
      <c r="C794" s="108"/>
      <c r="G794" s="113"/>
      <c r="Q794" s="446"/>
    </row>
    <row r="795" ht="15.75" customHeight="1">
      <c r="C795" s="108"/>
      <c r="G795" s="113"/>
      <c r="Q795" s="446"/>
    </row>
    <row r="796" ht="15.75" customHeight="1">
      <c r="C796" s="108"/>
      <c r="G796" s="113"/>
      <c r="Q796" s="446"/>
    </row>
    <row r="797" ht="15.75" customHeight="1">
      <c r="C797" s="108"/>
      <c r="G797" s="113"/>
      <c r="Q797" s="446"/>
    </row>
    <row r="798" ht="15.75" customHeight="1">
      <c r="C798" s="108"/>
      <c r="G798" s="113"/>
      <c r="Q798" s="446"/>
    </row>
    <row r="799" ht="15.75" customHeight="1">
      <c r="C799" s="108"/>
      <c r="G799" s="113"/>
      <c r="Q799" s="446"/>
    </row>
    <row r="800" ht="15.75" customHeight="1">
      <c r="C800" s="108"/>
      <c r="G800" s="113"/>
      <c r="Q800" s="446"/>
    </row>
    <row r="801" ht="15.75" customHeight="1">
      <c r="C801" s="108"/>
      <c r="G801" s="113"/>
      <c r="Q801" s="446"/>
    </row>
    <row r="802" ht="15.75" customHeight="1">
      <c r="C802" s="108"/>
      <c r="G802" s="113"/>
      <c r="Q802" s="446"/>
    </row>
    <row r="803" ht="15.75" customHeight="1">
      <c r="C803" s="108"/>
      <c r="G803" s="113"/>
      <c r="Q803" s="446"/>
    </row>
    <row r="804" ht="15.75" customHeight="1">
      <c r="C804" s="108"/>
      <c r="G804" s="113"/>
      <c r="Q804" s="446"/>
    </row>
    <row r="805" ht="15.75" customHeight="1">
      <c r="C805" s="108"/>
      <c r="G805" s="113"/>
      <c r="Q805" s="446"/>
    </row>
    <row r="806" ht="15.75" customHeight="1">
      <c r="C806" s="108"/>
      <c r="G806" s="113"/>
      <c r="Q806" s="446"/>
    </row>
    <row r="807" ht="15.75" customHeight="1">
      <c r="C807" s="108"/>
      <c r="G807" s="113"/>
      <c r="Q807" s="446"/>
    </row>
    <row r="808" ht="15.75" customHeight="1">
      <c r="C808" s="108"/>
      <c r="G808" s="113"/>
      <c r="Q808" s="446"/>
    </row>
    <row r="809" ht="15.75" customHeight="1">
      <c r="C809" s="108"/>
      <c r="G809" s="113"/>
      <c r="Q809" s="446"/>
    </row>
    <row r="810" ht="15.75" customHeight="1">
      <c r="C810" s="108"/>
      <c r="G810" s="113"/>
      <c r="Q810" s="446"/>
    </row>
    <row r="811" ht="15.75" customHeight="1">
      <c r="C811" s="108"/>
      <c r="G811" s="113"/>
      <c r="Q811" s="446"/>
    </row>
    <row r="812" ht="15.75" customHeight="1">
      <c r="C812" s="108"/>
      <c r="G812" s="113"/>
      <c r="Q812" s="446"/>
    </row>
    <row r="813" ht="15.75" customHeight="1">
      <c r="C813" s="108"/>
      <c r="G813" s="113"/>
      <c r="Q813" s="446"/>
    </row>
    <row r="814" ht="15.75" customHeight="1">
      <c r="C814" s="108"/>
      <c r="G814" s="113"/>
      <c r="Q814" s="446"/>
    </row>
    <row r="815" ht="15.75" customHeight="1">
      <c r="C815" s="108"/>
      <c r="G815" s="113"/>
      <c r="Q815" s="446"/>
    </row>
    <row r="816" ht="15.75" customHeight="1">
      <c r="C816" s="108"/>
      <c r="G816" s="113"/>
      <c r="Q816" s="446"/>
    </row>
    <row r="817" ht="15.75" customHeight="1">
      <c r="C817" s="108"/>
      <c r="G817" s="113"/>
      <c r="Q817" s="446"/>
    </row>
    <row r="818" ht="15.75" customHeight="1">
      <c r="C818" s="108"/>
      <c r="G818" s="113"/>
      <c r="Q818" s="446"/>
    </row>
    <row r="819" ht="15.75" customHeight="1">
      <c r="C819" s="108"/>
      <c r="G819" s="113"/>
      <c r="Q819" s="446"/>
    </row>
    <row r="820" ht="15.75" customHeight="1">
      <c r="C820" s="108"/>
      <c r="G820" s="113"/>
      <c r="Q820" s="446"/>
    </row>
    <row r="821" ht="15.75" customHeight="1">
      <c r="C821" s="108"/>
      <c r="G821" s="113"/>
      <c r="Q821" s="446"/>
    </row>
    <row r="822" ht="15.75" customHeight="1">
      <c r="C822" s="108"/>
      <c r="G822" s="113"/>
      <c r="Q822" s="446"/>
    </row>
    <row r="823" ht="15.75" customHeight="1">
      <c r="C823" s="108"/>
      <c r="G823" s="113"/>
      <c r="Q823" s="446"/>
    </row>
    <row r="824" ht="15.75" customHeight="1">
      <c r="C824" s="108"/>
      <c r="G824" s="113"/>
      <c r="Q824" s="446"/>
    </row>
    <row r="825" ht="15.75" customHeight="1">
      <c r="C825" s="108"/>
      <c r="G825" s="113"/>
      <c r="Q825" s="446"/>
    </row>
    <row r="826" ht="15.75" customHeight="1">
      <c r="C826" s="108"/>
      <c r="G826" s="113"/>
      <c r="Q826" s="446"/>
    </row>
    <row r="827" ht="15.75" customHeight="1">
      <c r="C827" s="108"/>
      <c r="G827" s="113"/>
      <c r="Q827" s="446"/>
    </row>
    <row r="828" ht="15.75" customHeight="1">
      <c r="C828" s="108"/>
      <c r="G828" s="113"/>
      <c r="Q828" s="446"/>
    </row>
    <row r="829" ht="15.75" customHeight="1">
      <c r="C829" s="108"/>
      <c r="G829" s="113"/>
      <c r="Q829" s="446"/>
    </row>
    <row r="830" ht="15.75" customHeight="1">
      <c r="C830" s="108"/>
      <c r="G830" s="113"/>
      <c r="Q830" s="446"/>
    </row>
    <row r="831" ht="15.75" customHeight="1">
      <c r="C831" s="108"/>
      <c r="G831" s="113"/>
      <c r="Q831" s="446"/>
    </row>
    <row r="832" ht="15.75" customHeight="1">
      <c r="C832" s="108"/>
      <c r="G832" s="113"/>
      <c r="Q832" s="446"/>
    </row>
    <row r="833" ht="15.75" customHeight="1">
      <c r="C833" s="108"/>
      <c r="G833" s="113"/>
      <c r="Q833" s="446"/>
    </row>
    <row r="834" ht="15.75" customHeight="1">
      <c r="C834" s="108"/>
      <c r="G834" s="113"/>
      <c r="Q834" s="446"/>
    </row>
    <row r="835" ht="15.75" customHeight="1">
      <c r="C835" s="108"/>
      <c r="G835" s="113"/>
      <c r="Q835" s="446"/>
    </row>
    <row r="836" ht="15.75" customHeight="1">
      <c r="C836" s="108"/>
      <c r="G836" s="113"/>
      <c r="Q836" s="446"/>
    </row>
    <row r="837" ht="15.75" customHeight="1">
      <c r="C837" s="108"/>
      <c r="G837" s="113"/>
      <c r="Q837" s="446"/>
    </row>
    <row r="838" ht="15.75" customHeight="1">
      <c r="C838" s="108"/>
      <c r="G838" s="113"/>
      <c r="Q838" s="446"/>
    </row>
    <row r="839" ht="15.75" customHeight="1">
      <c r="C839" s="108"/>
      <c r="G839" s="113"/>
      <c r="Q839" s="446"/>
    </row>
    <row r="840" ht="15.75" customHeight="1">
      <c r="C840" s="108"/>
      <c r="G840" s="113"/>
      <c r="Q840" s="446"/>
    </row>
    <row r="841" ht="15.75" customHeight="1">
      <c r="C841" s="108"/>
      <c r="G841" s="113"/>
      <c r="Q841" s="446"/>
    </row>
    <row r="842" ht="15.75" customHeight="1">
      <c r="C842" s="108"/>
      <c r="G842" s="113"/>
      <c r="Q842" s="446"/>
    </row>
    <row r="843" ht="15.75" customHeight="1">
      <c r="C843" s="108"/>
      <c r="G843" s="113"/>
      <c r="Q843" s="446"/>
    </row>
    <row r="844" ht="15.75" customHeight="1">
      <c r="C844" s="108"/>
      <c r="G844" s="113"/>
      <c r="Q844" s="446"/>
    </row>
    <row r="845" ht="15.75" customHeight="1">
      <c r="C845" s="108"/>
      <c r="G845" s="113"/>
      <c r="Q845" s="446"/>
    </row>
    <row r="846" ht="15.75" customHeight="1">
      <c r="C846" s="108"/>
      <c r="G846" s="113"/>
      <c r="Q846" s="446"/>
    </row>
    <row r="847" ht="15.75" customHeight="1">
      <c r="C847" s="108"/>
      <c r="G847" s="113"/>
      <c r="Q847" s="446"/>
    </row>
    <row r="848" ht="15.75" customHeight="1">
      <c r="C848" s="108"/>
      <c r="G848" s="113"/>
      <c r="Q848" s="446"/>
    </row>
    <row r="849" ht="15.75" customHeight="1">
      <c r="C849" s="108"/>
      <c r="G849" s="113"/>
      <c r="Q849" s="446"/>
    </row>
    <row r="850" ht="15.75" customHeight="1">
      <c r="C850" s="108"/>
      <c r="G850" s="113"/>
      <c r="Q850" s="446"/>
    </row>
    <row r="851" ht="15.75" customHeight="1">
      <c r="C851" s="108"/>
      <c r="G851" s="113"/>
      <c r="Q851" s="446"/>
    </row>
    <row r="852" ht="15.75" customHeight="1">
      <c r="C852" s="108"/>
      <c r="G852" s="113"/>
      <c r="Q852" s="446"/>
    </row>
    <row r="853" ht="15.75" customHeight="1">
      <c r="C853" s="108"/>
      <c r="G853" s="113"/>
      <c r="Q853" s="446"/>
    </row>
    <row r="854" ht="15.75" customHeight="1">
      <c r="C854" s="108"/>
      <c r="G854" s="113"/>
      <c r="Q854" s="446"/>
    </row>
    <row r="855" ht="15.75" customHeight="1">
      <c r="C855" s="108"/>
      <c r="G855" s="113"/>
      <c r="Q855" s="446"/>
    </row>
    <row r="856" ht="15.75" customHeight="1">
      <c r="C856" s="108"/>
      <c r="G856" s="113"/>
      <c r="Q856" s="446"/>
    </row>
    <row r="857" ht="15.75" customHeight="1">
      <c r="C857" s="108"/>
      <c r="G857" s="113"/>
      <c r="Q857" s="446"/>
    </row>
    <row r="858" ht="15.75" customHeight="1">
      <c r="C858" s="108"/>
      <c r="G858" s="113"/>
      <c r="Q858" s="446"/>
    </row>
    <row r="859" ht="15.75" customHeight="1">
      <c r="C859" s="108"/>
      <c r="G859" s="113"/>
      <c r="Q859" s="446"/>
    </row>
    <row r="860" ht="15.75" customHeight="1">
      <c r="C860" s="108"/>
      <c r="G860" s="113"/>
      <c r="Q860" s="446"/>
    </row>
    <row r="861" ht="15.75" customHeight="1">
      <c r="C861" s="108"/>
      <c r="G861" s="113"/>
      <c r="Q861" s="446"/>
    </row>
    <row r="862" ht="15.75" customHeight="1">
      <c r="C862" s="108"/>
      <c r="G862" s="113"/>
      <c r="Q862" s="446"/>
    </row>
    <row r="863" ht="15.75" customHeight="1">
      <c r="C863" s="108"/>
      <c r="G863" s="113"/>
      <c r="Q863" s="446"/>
    </row>
    <row r="864" ht="15.75" customHeight="1">
      <c r="C864" s="108"/>
      <c r="G864" s="113"/>
      <c r="Q864" s="446"/>
    </row>
    <row r="865" ht="15.75" customHeight="1">
      <c r="C865" s="108"/>
      <c r="G865" s="113"/>
      <c r="Q865" s="446"/>
    </row>
    <row r="866" ht="15.75" customHeight="1">
      <c r="C866" s="108"/>
      <c r="G866" s="113"/>
      <c r="Q866" s="446"/>
    </row>
    <row r="867" ht="15.75" customHeight="1">
      <c r="C867" s="108"/>
      <c r="G867" s="113"/>
      <c r="Q867" s="446"/>
    </row>
    <row r="868" ht="15.75" customHeight="1">
      <c r="C868" s="108"/>
      <c r="G868" s="113"/>
      <c r="Q868" s="446"/>
    </row>
    <row r="869" ht="15.75" customHeight="1">
      <c r="C869" s="108"/>
      <c r="G869" s="113"/>
      <c r="Q869" s="446"/>
    </row>
    <row r="870" ht="15.75" customHeight="1">
      <c r="C870" s="108"/>
      <c r="G870" s="113"/>
      <c r="Q870" s="446"/>
    </row>
    <row r="871" ht="15.75" customHeight="1">
      <c r="C871" s="108"/>
      <c r="G871" s="113"/>
      <c r="Q871" s="446"/>
    </row>
    <row r="872" ht="15.75" customHeight="1">
      <c r="C872" s="108"/>
      <c r="G872" s="113"/>
      <c r="Q872" s="446"/>
    </row>
    <row r="873" ht="15.75" customHeight="1">
      <c r="C873" s="108"/>
      <c r="G873" s="113"/>
      <c r="Q873" s="446"/>
    </row>
    <row r="874" ht="15.75" customHeight="1">
      <c r="C874" s="108"/>
      <c r="G874" s="113"/>
      <c r="Q874" s="446"/>
    </row>
    <row r="875" ht="15.75" customHeight="1">
      <c r="C875" s="108"/>
      <c r="G875" s="113"/>
      <c r="Q875" s="446"/>
    </row>
    <row r="876" ht="15.75" customHeight="1">
      <c r="C876" s="108"/>
      <c r="G876" s="113"/>
      <c r="Q876" s="446"/>
    </row>
    <row r="877" ht="15.75" customHeight="1">
      <c r="C877" s="108"/>
      <c r="G877" s="113"/>
      <c r="Q877" s="446"/>
    </row>
    <row r="878" ht="15.75" customHeight="1">
      <c r="C878" s="108"/>
      <c r="G878" s="113"/>
      <c r="Q878" s="446"/>
    </row>
    <row r="879" ht="15.75" customHeight="1">
      <c r="C879" s="108"/>
      <c r="G879" s="113"/>
      <c r="Q879" s="446"/>
    </row>
    <row r="880" ht="15.75" customHeight="1">
      <c r="C880" s="108"/>
      <c r="G880" s="113"/>
      <c r="Q880" s="446"/>
    </row>
    <row r="881" ht="15.75" customHeight="1">
      <c r="C881" s="108"/>
      <c r="G881" s="113"/>
      <c r="Q881" s="446"/>
    </row>
    <row r="882" ht="15.75" customHeight="1">
      <c r="C882" s="108"/>
      <c r="G882" s="113"/>
      <c r="Q882" s="446"/>
    </row>
    <row r="883" ht="15.75" customHeight="1">
      <c r="C883" s="108"/>
      <c r="G883" s="113"/>
      <c r="Q883" s="446"/>
    </row>
    <row r="884" ht="15.75" customHeight="1">
      <c r="C884" s="108"/>
      <c r="G884" s="113"/>
      <c r="Q884" s="446"/>
    </row>
    <row r="885" ht="15.75" customHeight="1">
      <c r="C885" s="108"/>
      <c r="G885" s="113"/>
      <c r="Q885" s="446"/>
    </row>
    <row r="886" ht="15.75" customHeight="1">
      <c r="C886" s="108"/>
      <c r="G886" s="113"/>
      <c r="Q886" s="446"/>
    </row>
    <row r="887" ht="15.75" customHeight="1">
      <c r="C887" s="108"/>
      <c r="G887" s="113"/>
      <c r="Q887" s="446"/>
    </row>
    <row r="888" ht="15.75" customHeight="1">
      <c r="C888" s="108"/>
      <c r="G888" s="113"/>
      <c r="Q888" s="446"/>
    </row>
    <row r="889" ht="15.75" customHeight="1">
      <c r="C889" s="108"/>
      <c r="G889" s="113"/>
      <c r="Q889" s="446"/>
    </row>
    <row r="890" ht="15.75" customHeight="1">
      <c r="C890" s="108"/>
      <c r="G890" s="113"/>
      <c r="Q890" s="446"/>
    </row>
    <row r="891" ht="15.75" customHeight="1">
      <c r="C891" s="108"/>
      <c r="G891" s="113"/>
      <c r="Q891" s="446"/>
    </row>
    <row r="892" ht="15.75" customHeight="1">
      <c r="C892" s="108"/>
      <c r="G892" s="113"/>
      <c r="Q892" s="446"/>
    </row>
    <row r="893" ht="15.75" customHeight="1">
      <c r="C893" s="108"/>
      <c r="G893" s="113"/>
      <c r="Q893" s="446"/>
    </row>
    <row r="894" ht="15.75" customHeight="1">
      <c r="C894" s="108"/>
      <c r="G894" s="113"/>
      <c r="Q894" s="446"/>
    </row>
    <row r="895" ht="15.75" customHeight="1">
      <c r="C895" s="108"/>
      <c r="G895" s="113"/>
      <c r="Q895" s="446"/>
    </row>
    <row r="896" ht="15.75" customHeight="1">
      <c r="C896" s="108"/>
      <c r="G896" s="113"/>
      <c r="Q896" s="446"/>
    </row>
    <row r="897" ht="15.75" customHeight="1">
      <c r="C897" s="108"/>
      <c r="G897" s="113"/>
      <c r="Q897" s="446"/>
    </row>
    <row r="898" ht="15.75" customHeight="1">
      <c r="C898" s="108"/>
      <c r="G898" s="113"/>
      <c r="Q898" s="446"/>
    </row>
    <row r="899" ht="15.75" customHeight="1">
      <c r="C899" s="108"/>
      <c r="G899" s="113"/>
      <c r="Q899" s="446"/>
    </row>
    <row r="900" ht="15.75" customHeight="1">
      <c r="C900" s="108"/>
      <c r="G900" s="113"/>
      <c r="Q900" s="446"/>
    </row>
    <row r="901" ht="15.75" customHeight="1">
      <c r="C901" s="108"/>
      <c r="G901" s="113"/>
      <c r="Q901" s="446"/>
    </row>
    <row r="902" ht="15.75" customHeight="1">
      <c r="C902" s="108"/>
      <c r="G902" s="113"/>
      <c r="Q902" s="446"/>
    </row>
    <row r="903" ht="15.75" customHeight="1">
      <c r="C903" s="108"/>
      <c r="G903" s="113"/>
      <c r="Q903" s="446"/>
    </row>
    <row r="904" ht="15.75" customHeight="1">
      <c r="C904" s="108"/>
      <c r="G904" s="113"/>
      <c r="Q904" s="446"/>
    </row>
    <row r="905" ht="15.75" customHeight="1">
      <c r="C905" s="108"/>
      <c r="G905" s="113"/>
      <c r="Q905" s="446"/>
    </row>
    <row r="906" ht="15.75" customHeight="1">
      <c r="C906" s="108"/>
      <c r="G906" s="113"/>
      <c r="Q906" s="446"/>
    </row>
    <row r="907" ht="15.75" customHeight="1">
      <c r="C907" s="108"/>
      <c r="G907" s="113"/>
      <c r="Q907" s="446"/>
    </row>
    <row r="908" ht="15.75" customHeight="1">
      <c r="C908" s="108"/>
      <c r="G908" s="113"/>
      <c r="Q908" s="446"/>
    </row>
    <row r="909" ht="15.75" customHeight="1">
      <c r="C909" s="108"/>
      <c r="G909" s="113"/>
      <c r="Q909" s="446"/>
    </row>
    <row r="910" ht="15.75" customHeight="1">
      <c r="C910" s="108"/>
      <c r="G910" s="113"/>
      <c r="Q910" s="446"/>
    </row>
    <row r="911" ht="15.75" customHeight="1">
      <c r="C911" s="108"/>
      <c r="G911" s="113"/>
      <c r="Q911" s="446"/>
    </row>
    <row r="912" ht="15.75" customHeight="1">
      <c r="C912" s="108"/>
      <c r="G912" s="113"/>
      <c r="Q912" s="446"/>
    </row>
    <row r="913" ht="15.75" customHeight="1">
      <c r="C913" s="108"/>
      <c r="G913" s="113"/>
      <c r="Q913" s="446"/>
    </row>
    <row r="914" ht="15.75" customHeight="1">
      <c r="C914" s="108"/>
      <c r="G914" s="113"/>
      <c r="Q914" s="446"/>
    </row>
    <row r="915" ht="15.75" customHeight="1">
      <c r="C915" s="108"/>
      <c r="G915" s="113"/>
      <c r="Q915" s="446"/>
    </row>
    <row r="916" ht="15.75" customHeight="1">
      <c r="C916" s="108"/>
      <c r="G916" s="113"/>
      <c r="Q916" s="446"/>
    </row>
    <row r="917" ht="15.75" customHeight="1">
      <c r="C917" s="108"/>
      <c r="G917" s="113"/>
      <c r="Q917" s="446"/>
    </row>
    <row r="918" ht="15.75" customHeight="1">
      <c r="C918" s="108"/>
      <c r="G918" s="113"/>
      <c r="Q918" s="446"/>
    </row>
    <row r="919" ht="15.75" customHeight="1">
      <c r="C919" s="108"/>
      <c r="G919" s="113"/>
      <c r="Q919" s="446"/>
    </row>
    <row r="920" ht="15.75" customHeight="1">
      <c r="C920" s="108"/>
      <c r="G920" s="113"/>
      <c r="Q920" s="446"/>
    </row>
    <row r="921" ht="15.75" customHeight="1">
      <c r="C921" s="108"/>
      <c r="G921" s="113"/>
      <c r="Q921" s="446"/>
    </row>
    <row r="922" ht="15.75" customHeight="1">
      <c r="C922" s="108"/>
      <c r="G922" s="113"/>
      <c r="Q922" s="446"/>
    </row>
    <row r="923" ht="15.75" customHeight="1">
      <c r="C923" s="108"/>
      <c r="G923" s="113"/>
      <c r="Q923" s="446"/>
    </row>
    <row r="924" ht="15.75" customHeight="1">
      <c r="C924" s="108"/>
      <c r="G924" s="113"/>
      <c r="Q924" s="446"/>
    </row>
    <row r="925" ht="15.75" customHeight="1">
      <c r="C925" s="108"/>
      <c r="G925" s="113"/>
      <c r="Q925" s="446"/>
    </row>
    <row r="926" ht="15.75" customHeight="1">
      <c r="C926" s="108"/>
      <c r="G926" s="113"/>
      <c r="Q926" s="446"/>
    </row>
    <row r="927" ht="15.75" customHeight="1">
      <c r="C927" s="108"/>
      <c r="G927" s="113"/>
      <c r="Q927" s="446"/>
    </row>
    <row r="928" ht="15.75" customHeight="1">
      <c r="C928" s="108"/>
      <c r="G928" s="113"/>
      <c r="Q928" s="446"/>
    </row>
    <row r="929" ht="15.75" customHeight="1">
      <c r="C929" s="108"/>
      <c r="G929" s="113"/>
      <c r="Q929" s="446"/>
    </row>
    <row r="930" ht="15.75" customHeight="1">
      <c r="C930" s="108"/>
      <c r="G930" s="113"/>
      <c r="Q930" s="446"/>
    </row>
    <row r="931" ht="15.75" customHeight="1">
      <c r="C931" s="108"/>
      <c r="G931" s="113"/>
      <c r="Q931" s="446"/>
    </row>
    <row r="932" ht="15.75" customHeight="1">
      <c r="C932" s="108"/>
      <c r="G932" s="113"/>
      <c r="Q932" s="446"/>
    </row>
    <row r="933" ht="15.75" customHeight="1">
      <c r="C933" s="108"/>
      <c r="G933" s="113"/>
      <c r="Q933" s="446"/>
    </row>
    <row r="934" ht="15.75" customHeight="1">
      <c r="C934" s="108"/>
      <c r="G934" s="113"/>
      <c r="Q934" s="446"/>
    </row>
    <row r="935" ht="15.75" customHeight="1">
      <c r="C935" s="108"/>
      <c r="G935" s="113"/>
      <c r="Q935" s="446"/>
    </row>
    <row r="936" ht="15.75" customHeight="1">
      <c r="C936" s="108"/>
      <c r="G936" s="113"/>
      <c r="Q936" s="446"/>
    </row>
    <row r="937" ht="15.75" customHeight="1">
      <c r="C937" s="108"/>
      <c r="G937" s="113"/>
      <c r="Q937" s="446"/>
    </row>
    <row r="938" ht="15.75" customHeight="1">
      <c r="C938" s="108"/>
      <c r="G938" s="113"/>
      <c r="Q938" s="446"/>
    </row>
    <row r="939" ht="15.75" customHeight="1">
      <c r="C939" s="108"/>
      <c r="G939" s="113"/>
      <c r="Q939" s="446"/>
    </row>
    <row r="940" ht="15.75" customHeight="1">
      <c r="C940" s="108"/>
      <c r="G940" s="113"/>
      <c r="Q940" s="446"/>
    </row>
    <row r="941" ht="15.75" customHeight="1">
      <c r="C941" s="108"/>
      <c r="G941" s="113"/>
      <c r="Q941" s="446"/>
    </row>
    <row r="942" ht="15.75" customHeight="1">
      <c r="C942" s="108"/>
      <c r="G942" s="113"/>
      <c r="Q942" s="446"/>
    </row>
    <row r="943" ht="15.75" customHeight="1">
      <c r="C943" s="108"/>
      <c r="G943" s="113"/>
      <c r="Q943" s="446"/>
    </row>
    <row r="944" ht="15.75" customHeight="1">
      <c r="C944" s="108"/>
      <c r="G944" s="113"/>
      <c r="Q944" s="446"/>
    </row>
    <row r="945" ht="15.75" customHeight="1">
      <c r="C945" s="108"/>
      <c r="G945" s="113"/>
      <c r="Q945" s="446"/>
    </row>
    <row r="946" ht="15.75" customHeight="1">
      <c r="C946" s="108"/>
      <c r="G946" s="113"/>
      <c r="Q946" s="446"/>
    </row>
    <row r="947" ht="15.75" customHeight="1">
      <c r="C947" s="108"/>
      <c r="G947" s="113"/>
      <c r="Q947" s="446"/>
    </row>
    <row r="948" ht="15.75" customHeight="1">
      <c r="C948" s="108"/>
      <c r="G948" s="113"/>
      <c r="Q948" s="446"/>
    </row>
    <row r="949" ht="15.75" customHeight="1">
      <c r="C949" s="108"/>
      <c r="G949" s="113"/>
      <c r="Q949" s="446"/>
    </row>
    <row r="950" ht="15.75" customHeight="1">
      <c r="C950" s="108"/>
      <c r="G950" s="113"/>
      <c r="Q950" s="446"/>
    </row>
    <row r="951" ht="15.75" customHeight="1">
      <c r="C951" s="108"/>
      <c r="G951" s="113"/>
      <c r="Q951" s="446"/>
    </row>
    <row r="952" ht="15.75" customHeight="1">
      <c r="C952" s="108"/>
      <c r="G952" s="113"/>
      <c r="Q952" s="446"/>
    </row>
    <row r="953" ht="15.75" customHeight="1">
      <c r="C953" s="108"/>
      <c r="G953" s="113"/>
      <c r="Q953" s="446"/>
    </row>
    <row r="954" ht="15.75" customHeight="1">
      <c r="C954" s="108"/>
      <c r="G954" s="113"/>
      <c r="Q954" s="446"/>
    </row>
    <row r="955" ht="15.75" customHeight="1">
      <c r="C955" s="108"/>
      <c r="G955" s="113"/>
      <c r="Q955" s="446"/>
    </row>
    <row r="956" ht="15.75" customHeight="1">
      <c r="C956" s="108"/>
      <c r="G956" s="113"/>
      <c r="Q956" s="446"/>
    </row>
    <row r="957" ht="15.75" customHeight="1">
      <c r="C957" s="108"/>
      <c r="G957" s="113"/>
      <c r="Q957" s="446"/>
    </row>
    <row r="958" ht="15.75" customHeight="1">
      <c r="C958" s="108"/>
      <c r="G958" s="113"/>
      <c r="Q958" s="446"/>
    </row>
    <row r="959" ht="15.75" customHeight="1">
      <c r="C959" s="108"/>
      <c r="G959" s="113"/>
      <c r="Q959" s="446"/>
    </row>
    <row r="960" ht="15.75" customHeight="1">
      <c r="C960" s="108"/>
      <c r="G960" s="113"/>
      <c r="Q960" s="446"/>
    </row>
    <row r="961" ht="15.75" customHeight="1">
      <c r="C961" s="108"/>
      <c r="G961" s="113"/>
      <c r="Q961" s="446"/>
    </row>
    <row r="962" ht="15.75" customHeight="1">
      <c r="C962" s="108"/>
      <c r="G962" s="113"/>
      <c r="Q962" s="446"/>
    </row>
    <row r="963" ht="15.75" customHeight="1">
      <c r="C963" s="108"/>
      <c r="G963" s="113"/>
      <c r="Q963" s="446"/>
    </row>
    <row r="964" ht="15.75" customHeight="1">
      <c r="C964" s="108"/>
      <c r="G964" s="113"/>
      <c r="Q964" s="446"/>
    </row>
    <row r="965" ht="15.75" customHeight="1">
      <c r="C965" s="108"/>
      <c r="G965" s="113"/>
      <c r="Q965" s="446"/>
    </row>
    <row r="966" ht="15.75" customHeight="1">
      <c r="C966" s="108"/>
      <c r="G966" s="113"/>
      <c r="Q966" s="446"/>
    </row>
    <row r="967" ht="15.75" customHeight="1">
      <c r="C967" s="108"/>
      <c r="G967" s="113"/>
      <c r="Q967" s="446"/>
    </row>
    <row r="968" ht="15.75" customHeight="1">
      <c r="C968" s="108"/>
      <c r="G968" s="113"/>
      <c r="Q968" s="446"/>
    </row>
    <row r="969" ht="15.75" customHeight="1">
      <c r="C969" s="108"/>
      <c r="G969" s="113"/>
      <c r="Q969" s="446"/>
    </row>
    <row r="970" ht="15.75" customHeight="1">
      <c r="C970" s="108"/>
      <c r="G970" s="113"/>
      <c r="Q970" s="446"/>
    </row>
    <row r="971" ht="15.75" customHeight="1">
      <c r="C971" s="108"/>
      <c r="G971" s="113"/>
      <c r="Q971" s="446"/>
    </row>
    <row r="972" ht="15.75" customHeight="1">
      <c r="C972" s="108"/>
      <c r="G972" s="113"/>
      <c r="Q972" s="446"/>
    </row>
    <row r="973" ht="15.75" customHeight="1">
      <c r="C973" s="108"/>
      <c r="G973" s="113"/>
      <c r="Q973" s="446"/>
    </row>
    <row r="974" ht="15.75" customHeight="1">
      <c r="C974" s="108"/>
      <c r="G974" s="113"/>
      <c r="Q974" s="446"/>
    </row>
    <row r="975" ht="15.75" customHeight="1">
      <c r="C975" s="108"/>
      <c r="G975" s="113"/>
      <c r="Q975" s="446"/>
    </row>
    <row r="976" ht="15.75" customHeight="1">
      <c r="C976" s="108"/>
      <c r="G976" s="113"/>
      <c r="Q976" s="446"/>
    </row>
    <row r="977" ht="15.75" customHeight="1">
      <c r="C977" s="108"/>
      <c r="G977" s="113"/>
      <c r="Q977" s="446"/>
    </row>
    <row r="978" ht="15.75" customHeight="1">
      <c r="C978" s="108"/>
      <c r="G978" s="113"/>
      <c r="Q978" s="446"/>
    </row>
    <row r="979" ht="15.75" customHeight="1">
      <c r="C979" s="108"/>
      <c r="G979" s="113"/>
      <c r="Q979" s="446"/>
    </row>
    <row r="980" ht="15.75" customHeight="1">
      <c r="C980" s="108"/>
      <c r="G980" s="113"/>
      <c r="Q980" s="446"/>
    </row>
    <row r="981" ht="15.75" customHeight="1">
      <c r="C981" s="108"/>
      <c r="G981" s="113"/>
      <c r="Q981" s="446"/>
    </row>
    <row r="982" ht="15.75" customHeight="1">
      <c r="C982" s="108"/>
      <c r="G982" s="113"/>
      <c r="Q982" s="446"/>
    </row>
    <row r="983" ht="15.75" customHeight="1">
      <c r="C983" s="108"/>
      <c r="G983" s="113"/>
      <c r="Q983" s="446"/>
    </row>
    <row r="984" ht="15.75" customHeight="1">
      <c r="C984" s="108"/>
      <c r="G984" s="113"/>
      <c r="Q984" s="446"/>
    </row>
    <row r="985" ht="15.75" customHeight="1">
      <c r="C985" s="108"/>
      <c r="G985" s="113"/>
      <c r="Q985" s="446"/>
    </row>
    <row r="986" ht="15.75" customHeight="1">
      <c r="C986" s="108"/>
      <c r="G986" s="113"/>
      <c r="Q986" s="446"/>
    </row>
    <row r="987" ht="15.75" customHeight="1">
      <c r="C987" s="108"/>
      <c r="G987" s="113"/>
      <c r="Q987" s="446"/>
    </row>
    <row r="988" ht="15.75" customHeight="1">
      <c r="C988" s="108"/>
      <c r="G988" s="113"/>
      <c r="Q988" s="446"/>
    </row>
    <row r="989" ht="15.75" customHeight="1">
      <c r="C989" s="108"/>
      <c r="G989" s="113"/>
      <c r="Q989" s="446"/>
    </row>
    <row r="990" ht="15.75" customHeight="1">
      <c r="C990" s="108"/>
      <c r="G990" s="113"/>
      <c r="Q990" s="446"/>
    </row>
    <row r="991" ht="15.75" customHeight="1">
      <c r="C991" s="108"/>
      <c r="G991" s="113"/>
      <c r="Q991" s="446"/>
    </row>
    <row r="992" ht="15.75" customHeight="1">
      <c r="C992" s="108"/>
      <c r="G992" s="113"/>
      <c r="Q992" s="446"/>
    </row>
    <row r="993" ht="15.75" customHeight="1">
      <c r="C993" s="108"/>
      <c r="G993" s="113"/>
      <c r="Q993" s="446"/>
    </row>
    <row r="994" ht="15.75" customHeight="1">
      <c r="C994" s="108"/>
      <c r="G994" s="113"/>
      <c r="Q994" s="446"/>
    </row>
    <row r="995" ht="15.75" customHeight="1">
      <c r="C995" s="108"/>
      <c r="G995" s="113"/>
      <c r="Q995" s="446"/>
    </row>
    <row r="996" ht="15.75" customHeight="1">
      <c r="C996" s="108"/>
      <c r="G996" s="113"/>
      <c r="Q996" s="446"/>
    </row>
    <row r="997" ht="15.75" customHeight="1">
      <c r="G997" s="113"/>
      <c r="Q997" s="446"/>
    </row>
    <row r="998">
      <c r="G998" s="113"/>
      <c r="Q998" s="446"/>
    </row>
    <row r="999">
      <c r="G999" s="113"/>
      <c r="Q999" s="446"/>
    </row>
    <row r="1000">
      <c r="G1000" s="113"/>
      <c r="Q1000" s="446"/>
    </row>
    <row r="1001">
      <c r="G1001" s="113"/>
      <c r="Q1001" s="446"/>
    </row>
    <row r="1002">
      <c r="G1002" s="113"/>
      <c r="Q1002" s="446"/>
    </row>
    <row r="1003">
      <c r="G1003" s="113"/>
      <c r="Q1003" s="446"/>
    </row>
    <row r="1004">
      <c r="G1004" s="113"/>
      <c r="Q1004" s="446"/>
    </row>
    <row r="1005">
      <c r="G1005" s="113"/>
      <c r="Q1005" s="446"/>
    </row>
    <row r="1006">
      <c r="G1006" s="113"/>
      <c r="Q1006" s="446"/>
    </row>
    <row r="1007">
      <c r="G1007" s="113"/>
      <c r="Q1007" s="446"/>
    </row>
    <row r="1008">
      <c r="G1008" s="113"/>
      <c r="Q1008" s="446"/>
    </row>
    <row r="1009">
      <c r="G1009" s="113"/>
      <c r="Q1009" s="446"/>
    </row>
    <row r="1010">
      <c r="G1010" s="113"/>
      <c r="Q1010" s="446"/>
    </row>
  </sheetData>
  <mergeCells count="11">
    <mergeCell ref="E61:G61"/>
    <mergeCell ref="N61:Q61"/>
    <mergeCell ref="E62:G62"/>
    <mergeCell ref="N62:Q62"/>
    <mergeCell ref="A1:Q1"/>
    <mergeCell ref="A2:Q2"/>
    <mergeCell ref="A3:Q3"/>
    <mergeCell ref="E56:G56"/>
    <mergeCell ref="N56:Q56"/>
    <mergeCell ref="E57:G57"/>
    <mergeCell ref="N57:Q57"/>
  </mergeCells>
  <dataValidations>
    <dataValidation type="list" allowBlank="1" showDropDown="1" showErrorMessage="1" sqref="D7:D54">
      <formula1>"Ivc,Ivb,IIId,Iva,IIIb,lld,IId,PPPK-VII,PPPK-V,KONTRAK,PPPK-X"</formula1>
    </dataValidation>
    <dataValidation type="custom" allowBlank="1" showDropDown="1" sqref="F7:F54">
      <formula1>OR(NOT(ISERROR(DATEVALUE(F7))), AND(ISNUMBER(F7), LEFT(CELL("format", F7))="D"))</formula1>
    </dataValidation>
    <dataValidation type="list" allowBlank="1" showDropDown="1" showErrorMessage="1" sqref="I7:I54">
      <formula1>"IV/c,-, -"</formula1>
    </dataValidation>
    <dataValidation type="list" allowBlank="1" showDropDown="1" showErrorMessage="1" sqref="P7:P54">
      <formula1>"Islam,Kristen"</formula1>
    </dataValidation>
    <dataValidation type="custom" allowBlank="1" showDropDown="1" sqref="A7:A54 J7:K54">
      <formula1>AND(ISNUMBER(A7),(NOT(OR(NOT(ISERROR(DATEVALUE(A7))), AND(ISNUMBER(A7), LEFT(CELL("format", A7))="D")))))</formula1>
    </dataValidation>
    <dataValidation type="list" allowBlank="1" showDropDown="1" showErrorMessage="1" sqref="M7:M54">
      <formula1>"S1,D III,D IV,SLTA,DIII,D-III,D-IV,S-1,SMA,SMP,SMK,D-1"</formula1>
    </dataValidation>
    <dataValidation allowBlank="1" showDropDown="1" sqref="C7:C54"/>
    <dataValidation type="list" allowBlank="1" showDropDown="1" showErrorMessage="1" sqref="E7:E54">
      <formula1>"PNS,PPPK,PPPK-PW"</formula1>
    </dataValidation>
  </dataValidations>
  <hyperlinks>
    <hyperlink r:id="rId1" ref="Q7"/>
    <hyperlink r:id="rId2" ref="Q8"/>
    <hyperlink r:id="rId3" ref="Q9"/>
    <hyperlink r:id="rId4" ref="Q10"/>
    <hyperlink r:id="rId5" ref="Q11"/>
    <hyperlink r:id="rId6" ref="Q12"/>
    <hyperlink r:id="rId7" ref="Q13"/>
    <hyperlink r:id="rId8" ref="Q14"/>
    <hyperlink r:id="rId9" ref="Q15"/>
    <hyperlink r:id="rId10" ref="Q16"/>
    <hyperlink r:id="rId11" ref="Q17"/>
    <hyperlink r:id="rId12" ref="Q18"/>
    <hyperlink r:id="rId13" ref="Q19"/>
    <hyperlink r:id="rId14" ref="Q20"/>
    <hyperlink r:id="rId15" ref="Q21"/>
    <hyperlink r:id="rId16" ref="Q22"/>
    <hyperlink r:id="rId17" ref="Q23"/>
    <hyperlink r:id="rId18" ref="Q24"/>
    <hyperlink r:id="rId19" ref="Q25"/>
    <hyperlink r:id="rId20" ref="Q26"/>
    <hyperlink r:id="rId21" ref="Q27"/>
    <hyperlink r:id="rId22" ref="Q28"/>
    <hyperlink r:id="rId23" ref="Q29"/>
    <hyperlink r:id="rId24" ref="Q30"/>
    <hyperlink r:id="rId25" ref="Q31"/>
    <hyperlink r:id="rId26" ref="Q32"/>
    <hyperlink r:id="rId27" ref="Q33"/>
    <hyperlink r:id="rId28" ref="Q34"/>
    <hyperlink r:id="rId29" ref="Q35"/>
    <hyperlink r:id="rId30" ref="Q36"/>
    <hyperlink r:id="rId31" ref="Q37"/>
    <hyperlink r:id="rId32" ref="Q38"/>
    <hyperlink r:id="rId33" ref="Q39"/>
    <hyperlink r:id="rId34" ref="Q40"/>
    <hyperlink r:id="rId35" ref="Q41"/>
    <hyperlink r:id="rId36" ref="Q42"/>
    <hyperlink r:id="rId37" ref="Q43"/>
    <hyperlink r:id="rId38" ref="Q44"/>
    <hyperlink r:id="rId39" ref="Q45"/>
    <hyperlink r:id="rId40" ref="Q46"/>
    <hyperlink r:id="rId41" ref="Q47"/>
    <hyperlink r:id="rId42" ref="Q48"/>
    <hyperlink r:id="rId43" ref="Q49"/>
    <hyperlink r:id="rId44" ref="Q50"/>
    <hyperlink r:id="rId45" ref="B51"/>
    <hyperlink r:id="rId46" ref="Q51"/>
    <hyperlink r:id="rId47" ref="Q52"/>
    <hyperlink r:id="rId48" ref="Q53"/>
    <hyperlink r:id="rId49" ref="Q54"/>
  </hyperlinks>
  <printOptions/>
  <pageMargins bottom="0.4724409448818898" footer="0.0" header="0.0" left="0.2755905511811024" right="0.31496062992125984" top="0.5118110236220472"/>
  <pageSetup paperSize="5" scale="55" orientation="landscape"/>
  <drawing r:id="rId50"/>
  <tableParts count="1">
    <tablePart r:id="rId5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6.71"/>
    <col customWidth="1" min="3" max="3" width="19.14"/>
    <col customWidth="1" min="4" max="4" width="24.14"/>
    <col customWidth="1" min="5" max="5" width="18.29"/>
    <col customWidth="1" min="6" max="6" width="21.43"/>
    <col customWidth="1" min="7" max="7" width="9.71"/>
    <col customWidth="1" min="8" max="8" width="10.71"/>
    <col customWidth="1" min="9" max="9" width="8.71"/>
    <col customWidth="1" min="10" max="10" width="12.57"/>
    <col customWidth="1" min="11" max="15" width="8.71"/>
  </cols>
  <sheetData>
    <row r="1">
      <c r="A1" s="1" t="s">
        <v>1</v>
      </c>
      <c r="B1" s="1" t="s">
        <v>3</v>
      </c>
      <c r="C1" s="4" t="s">
        <v>4</v>
      </c>
      <c r="D1" s="1" t="s">
        <v>5</v>
      </c>
      <c r="E1" s="6" t="s">
        <v>6</v>
      </c>
      <c r="F1" s="6" t="s">
        <v>8</v>
      </c>
    </row>
    <row r="2" ht="28.5" customHeight="1">
      <c r="A2" s="9">
        <v>1.0</v>
      </c>
      <c r="B2" s="10" t="s">
        <v>10</v>
      </c>
      <c r="C2" s="12" t="s">
        <v>11</v>
      </c>
      <c r="D2" s="13" t="s">
        <v>12</v>
      </c>
      <c r="E2" s="14" t="s">
        <v>13</v>
      </c>
      <c r="F2" s="15" t="s">
        <v>14</v>
      </c>
    </row>
    <row r="3" ht="28.5" customHeight="1">
      <c r="A3" s="16">
        <v>2.0</v>
      </c>
      <c r="B3" s="17" t="s">
        <v>16</v>
      </c>
      <c r="C3" s="18" t="s">
        <v>17</v>
      </c>
      <c r="D3" s="21" t="s">
        <v>18</v>
      </c>
      <c r="E3" s="14" t="s">
        <v>13</v>
      </c>
      <c r="F3" s="23" t="s">
        <v>20</v>
      </c>
    </row>
    <row r="4" ht="28.5" customHeight="1">
      <c r="A4" s="9">
        <v>3.0</v>
      </c>
      <c r="B4" s="17" t="s">
        <v>22</v>
      </c>
      <c r="C4" s="25" t="s">
        <v>24</v>
      </c>
      <c r="D4" s="21" t="s">
        <v>26</v>
      </c>
      <c r="E4" s="14" t="s">
        <v>13</v>
      </c>
      <c r="F4" s="27" t="s">
        <v>29</v>
      </c>
    </row>
    <row r="5" ht="28.5" customHeight="1">
      <c r="A5" s="9">
        <v>4.0</v>
      </c>
      <c r="B5" s="17" t="s">
        <v>32</v>
      </c>
      <c r="C5" s="25" t="s">
        <v>33</v>
      </c>
      <c r="D5" s="21" t="s">
        <v>26</v>
      </c>
      <c r="E5" s="14" t="s">
        <v>13</v>
      </c>
      <c r="F5" s="23" t="s">
        <v>34</v>
      </c>
    </row>
    <row r="6" ht="28.5" customHeight="1">
      <c r="A6" s="16">
        <v>5.0</v>
      </c>
      <c r="B6" s="17" t="s">
        <v>35</v>
      </c>
      <c r="C6" s="25" t="s">
        <v>36</v>
      </c>
      <c r="D6" s="21" t="s">
        <v>26</v>
      </c>
      <c r="E6" s="14" t="s">
        <v>13</v>
      </c>
      <c r="F6" s="23" t="s">
        <v>37</v>
      </c>
    </row>
    <row r="7" ht="28.5" customHeight="1">
      <c r="A7" s="9">
        <v>6.0</v>
      </c>
      <c r="B7" s="17" t="s">
        <v>39</v>
      </c>
      <c r="C7" s="25" t="s">
        <v>40</v>
      </c>
      <c r="D7" s="21" t="s">
        <v>42</v>
      </c>
      <c r="E7" s="14" t="s">
        <v>13</v>
      </c>
      <c r="F7" s="23" t="s">
        <v>46</v>
      </c>
      <c r="G7" s="32"/>
      <c r="H7" s="5"/>
      <c r="I7" s="5"/>
      <c r="J7" s="5"/>
    </row>
    <row r="8" ht="28.5" customHeight="1">
      <c r="A8" s="9">
        <v>7.0</v>
      </c>
      <c r="B8" s="17" t="s">
        <v>49</v>
      </c>
      <c r="C8" s="25" t="s">
        <v>50</v>
      </c>
      <c r="D8" s="37" t="s">
        <v>26</v>
      </c>
      <c r="E8" s="14" t="s">
        <v>13</v>
      </c>
      <c r="F8" s="23" t="s">
        <v>54</v>
      </c>
      <c r="G8" s="32"/>
      <c r="H8" s="5"/>
      <c r="I8" s="5"/>
      <c r="J8" s="5"/>
      <c r="K8" s="5"/>
      <c r="L8" s="5"/>
      <c r="M8" s="5"/>
      <c r="N8" s="5"/>
      <c r="O8" s="5"/>
    </row>
    <row r="9" ht="28.5" customHeight="1">
      <c r="A9" s="16">
        <v>8.0</v>
      </c>
      <c r="B9" s="17" t="s">
        <v>61</v>
      </c>
      <c r="C9" s="25" t="s">
        <v>62</v>
      </c>
      <c r="D9" s="21" t="s">
        <v>63</v>
      </c>
      <c r="E9" s="14" t="s">
        <v>13</v>
      </c>
      <c r="F9" s="23" t="s">
        <v>65</v>
      </c>
      <c r="G9" s="32"/>
      <c r="H9" s="5"/>
      <c r="I9" s="5"/>
      <c r="J9" s="5"/>
    </row>
    <row r="10" ht="28.5" customHeight="1">
      <c r="A10" s="9">
        <v>9.0</v>
      </c>
      <c r="B10" s="17" t="s">
        <v>66</v>
      </c>
      <c r="C10" s="25" t="s">
        <v>67</v>
      </c>
      <c r="D10" s="37" t="s">
        <v>63</v>
      </c>
      <c r="E10" s="14" t="s">
        <v>13</v>
      </c>
      <c r="F10" s="27" t="s">
        <v>68</v>
      </c>
      <c r="G10" s="32"/>
      <c r="H10" s="5"/>
      <c r="I10" s="5"/>
      <c r="J10" s="5"/>
      <c r="K10" s="5"/>
      <c r="L10" s="5"/>
      <c r="M10" s="5"/>
      <c r="N10" s="5"/>
      <c r="O10" s="5"/>
    </row>
    <row r="11" ht="28.5" customHeight="1">
      <c r="A11" s="9">
        <v>10.0</v>
      </c>
      <c r="B11" s="17" t="s">
        <v>69</v>
      </c>
      <c r="C11" s="25" t="s">
        <v>70</v>
      </c>
      <c r="D11" s="37" t="s">
        <v>63</v>
      </c>
      <c r="E11" s="14" t="s">
        <v>13</v>
      </c>
      <c r="F11" s="23" t="s">
        <v>71</v>
      </c>
      <c r="G11" s="32"/>
      <c r="H11" s="5"/>
      <c r="I11" s="5"/>
      <c r="J11" s="5"/>
    </row>
    <row r="12" ht="28.5" customHeight="1">
      <c r="A12" s="16">
        <v>11.0</v>
      </c>
      <c r="B12" s="17" t="s">
        <v>72</v>
      </c>
      <c r="C12" s="25" t="s">
        <v>73</v>
      </c>
      <c r="D12" s="37" t="s">
        <v>63</v>
      </c>
      <c r="E12" s="14" t="s">
        <v>13</v>
      </c>
      <c r="F12" s="23" t="s">
        <v>71</v>
      </c>
      <c r="G12" s="32"/>
      <c r="H12" s="5"/>
      <c r="I12" s="5"/>
      <c r="J12" s="5"/>
    </row>
    <row r="13" ht="28.5" customHeight="1">
      <c r="A13" s="9">
        <v>12.0</v>
      </c>
      <c r="B13" s="17" t="s">
        <v>75</v>
      </c>
      <c r="C13" s="25" t="s">
        <v>76</v>
      </c>
      <c r="D13" s="37" t="s">
        <v>63</v>
      </c>
      <c r="E13" s="14" t="s">
        <v>13</v>
      </c>
      <c r="F13" s="23" t="s">
        <v>71</v>
      </c>
      <c r="G13" s="32"/>
      <c r="H13" s="5"/>
      <c r="I13" s="5"/>
      <c r="J13" s="5"/>
    </row>
    <row r="14" ht="28.5" customHeight="1">
      <c r="A14" s="9">
        <v>13.0</v>
      </c>
      <c r="B14" s="17" t="s">
        <v>77</v>
      </c>
      <c r="C14" s="25" t="s">
        <v>78</v>
      </c>
      <c r="D14" s="37" t="s">
        <v>63</v>
      </c>
      <c r="E14" s="14" t="s">
        <v>13</v>
      </c>
      <c r="F14" s="23" t="s">
        <v>71</v>
      </c>
      <c r="G14" s="32"/>
      <c r="H14" s="5"/>
      <c r="I14" s="5"/>
      <c r="J14" s="5"/>
    </row>
    <row r="15" ht="28.5" customHeight="1">
      <c r="A15" s="16">
        <v>14.0</v>
      </c>
      <c r="B15" s="52" t="s">
        <v>80</v>
      </c>
      <c r="C15" s="55" t="s">
        <v>81</v>
      </c>
      <c r="D15" s="37" t="s">
        <v>63</v>
      </c>
      <c r="E15" s="14" t="s">
        <v>13</v>
      </c>
      <c r="F15" s="23" t="s">
        <v>71</v>
      </c>
      <c r="G15" s="56"/>
      <c r="H15" s="57"/>
      <c r="I15" s="57"/>
      <c r="J15" s="57"/>
      <c r="K15" s="57"/>
      <c r="L15" s="57"/>
      <c r="M15" s="57"/>
      <c r="N15" s="57"/>
      <c r="O15" s="57"/>
    </row>
    <row r="16" ht="28.5" customHeight="1">
      <c r="A16" s="9">
        <v>15.0</v>
      </c>
      <c r="B16" s="17" t="s">
        <v>89</v>
      </c>
      <c r="C16" s="25" t="s">
        <v>90</v>
      </c>
      <c r="D16" s="37" t="s">
        <v>63</v>
      </c>
      <c r="E16" s="14" t="s">
        <v>13</v>
      </c>
      <c r="F16" s="23" t="s">
        <v>71</v>
      </c>
      <c r="G16" s="32"/>
      <c r="H16" s="5"/>
      <c r="I16" s="5"/>
      <c r="J16" s="5"/>
    </row>
    <row r="17" ht="28.5" customHeight="1">
      <c r="A17" s="9">
        <v>16.0</v>
      </c>
      <c r="B17" s="17" t="s">
        <v>91</v>
      </c>
      <c r="C17" s="25" t="s">
        <v>92</v>
      </c>
      <c r="D17" s="21" t="s">
        <v>63</v>
      </c>
      <c r="E17" s="14" t="s">
        <v>13</v>
      </c>
      <c r="F17" s="23" t="s">
        <v>93</v>
      </c>
      <c r="G17" s="32"/>
      <c r="H17" s="5"/>
      <c r="I17" s="5"/>
      <c r="J17" s="5"/>
      <c r="K17" s="5"/>
      <c r="L17" s="5"/>
      <c r="M17" s="5"/>
      <c r="N17" s="5"/>
      <c r="O17" s="5"/>
    </row>
    <row r="18" ht="28.5" customHeight="1">
      <c r="A18" s="16">
        <v>17.0</v>
      </c>
      <c r="B18" s="17" t="s">
        <v>95</v>
      </c>
      <c r="C18" s="25" t="s">
        <v>96</v>
      </c>
      <c r="D18" s="21" t="s">
        <v>98</v>
      </c>
      <c r="E18" s="14" t="s">
        <v>13</v>
      </c>
      <c r="F18" s="27" t="s">
        <v>100</v>
      </c>
      <c r="G18" s="32"/>
      <c r="H18" s="5"/>
      <c r="I18" s="5"/>
      <c r="J18" s="5"/>
      <c r="K18" s="5"/>
      <c r="L18" s="5"/>
      <c r="M18" s="5"/>
      <c r="N18" s="5"/>
      <c r="O18" s="5"/>
    </row>
    <row r="19" ht="28.5" customHeight="1">
      <c r="A19" s="9">
        <v>18.0</v>
      </c>
      <c r="B19" s="17" t="s">
        <v>101</v>
      </c>
      <c r="C19" s="25" t="s">
        <v>102</v>
      </c>
      <c r="D19" s="37" t="s">
        <v>104</v>
      </c>
      <c r="E19" s="14" t="s">
        <v>13</v>
      </c>
      <c r="F19" s="23" t="s">
        <v>105</v>
      </c>
      <c r="G19" s="32"/>
      <c r="H19" s="5"/>
      <c r="I19" s="5"/>
      <c r="J19" s="5"/>
    </row>
    <row r="20" ht="28.5" customHeight="1">
      <c r="A20" s="9">
        <v>19.0</v>
      </c>
      <c r="B20" s="17" t="s">
        <v>107</v>
      </c>
      <c r="C20" s="25" t="s">
        <v>108</v>
      </c>
      <c r="D20" s="37" t="s">
        <v>104</v>
      </c>
      <c r="E20" s="14" t="s">
        <v>13</v>
      </c>
      <c r="F20" s="23" t="s">
        <v>105</v>
      </c>
      <c r="G20" s="32"/>
      <c r="H20" s="5"/>
      <c r="I20" s="5"/>
      <c r="J20" s="5"/>
    </row>
    <row r="21" ht="28.5" customHeight="1">
      <c r="A21" s="16">
        <v>20.0</v>
      </c>
      <c r="B21" s="17" t="s">
        <v>110</v>
      </c>
      <c r="C21" s="25" t="s">
        <v>112</v>
      </c>
      <c r="D21" s="37" t="s">
        <v>104</v>
      </c>
      <c r="E21" s="14" t="s">
        <v>13</v>
      </c>
      <c r="F21" s="23" t="s">
        <v>114</v>
      </c>
      <c r="G21" s="32"/>
      <c r="H21" s="5"/>
      <c r="I21" s="5"/>
      <c r="J21" s="5"/>
    </row>
    <row r="22" ht="28.5" customHeight="1">
      <c r="A22" s="9">
        <v>21.0</v>
      </c>
      <c r="B22" s="10" t="s">
        <v>115</v>
      </c>
      <c r="C22" s="12" t="s">
        <v>117</v>
      </c>
      <c r="D22" s="37" t="s">
        <v>118</v>
      </c>
      <c r="E22" s="14" t="s">
        <v>119</v>
      </c>
      <c r="F22" s="15" t="s">
        <v>120</v>
      </c>
      <c r="G22" s="32"/>
      <c r="H22" s="5"/>
      <c r="I22" s="5"/>
      <c r="J22" s="5"/>
      <c r="K22" s="5"/>
      <c r="L22" s="5"/>
      <c r="M22" s="5"/>
      <c r="N22" s="5"/>
      <c r="O22" s="5"/>
    </row>
    <row r="23" ht="28.5" customHeight="1">
      <c r="A23" s="9">
        <v>22.0</v>
      </c>
      <c r="B23" s="17" t="s">
        <v>121</v>
      </c>
      <c r="C23" s="62" t="s">
        <v>122</v>
      </c>
      <c r="D23" s="37" t="s">
        <v>118</v>
      </c>
      <c r="E23" s="14" t="s">
        <v>119</v>
      </c>
      <c r="F23" s="15" t="s">
        <v>120</v>
      </c>
      <c r="G23" s="32"/>
      <c r="H23" s="5"/>
      <c r="I23" s="5"/>
      <c r="J23" s="5"/>
      <c r="K23" s="5"/>
      <c r="L23" s="5"/>
      <c r="M23" s="5"/>
      <c r="N23" s="5"/>
      <c r="O23" s="5"/>
    </row>
    <row r="24" ht="28.5" customHeight="1">
      <c r="A24" s="16">
        <v>23.0</v>
      </c>
      <c r="B24" s="64" t="s">
        <v>127</v>
      </c>
      <c r="C24" s="65" t="s">
        <v>128</v>
      </c>
      <c r="D24" s="37" t="s">
        <v>118</v>
      </c>
      <c r="E24" s="14" t="s">
        <v>129</v>
      </c>
      <c r="F24" s="15" t="s">
        <v>120</v>
      </c>
      <c r="G24" s="66"/>
      <c r="H24" s="67"/>
      <c r="I24" s="67"/>
      <c r="J24" s="67"/>
      <c r="K24" s="67"/>
      <c r="L24" s="67"/>
      <c r="M24" s="67"/>
      <c r="N24" s="67"/>
      <c r="O24" s="67"/>
    </row>
    <row r="25" ht="28.5" customHeight="1">
      <c r="A25" s="9">
        <v>24.0</v>
      </c>
      <c r="B25" s="17" t="s">
        <v>132</v>
      </c>
      <c r="C25" s="69" t="s">
        <v>133</v>
      </c>
      <c r="D25" s="37" t="s">
        <v>118</v>
      </c>
      <c r="E25" s="14" t="s">
        <v>129</v>
      </c>
      <c r="F25" s="70" t="s">
        <v>137</v>
      </c>
      <c r="G25" s="66"/>
      <c r="H25" s="67"/>
      <c r="I25" s="67"/>
      <c r="J25" s="67"/>
      <c r="K25" s="67"/>
      <c r="L25" s="67"/>
      <c r="M25" s="67"/>
      <c r="N25" s="67"/>
      <c r="O25" s="67"/>
    </row>
    <row r="26" ht="28.5" customHeight="1">
      <c r="A26" s="9">
        <v>25.0</v>
      </c>
      <c r="B26" s="17" t="s">
        <v>138</v>
      </c>
      <c r="C26" s="69" t="s">
        <v>139</v>
      </c>
      <c r="D26" s="37" t="s">
        <v>118</v>
      </c>
      <c r="E26" s="14" t="s">
        <v>129</v>
      </c>
      <c r="F26" s="72" t="s">
        <v>120</v>
      </c>
      <c r="G26" s="66"/>
      <c r="H26" s="67"/>
      <c r="I26" s="67"/>
      <c r="J26" s="67"/>
      <c r="K26" s="67"/>
      <c r="L26" s="67"/>
      <c r="M26" s="67"/>
      <c r="N26" s="67"/>
      <c r="O26" s="67"/>
    </row>
    <row r="27" ht="28.5" customHeight="1">
      <c r="A27" s="16">
        <v>26.0</v>
      </c>
      <c r="B27" s="17" t="s">
        <v>143</v>
      </c>
      <c r="C27" s="25" t="s">
        <v>144</v>
      </c>
      <c r="D27" s="37" t="s">
        <v>118</v>
      </c>
      <c r="E27" s="37" t="s">
        <v>119</v>
      </c>
      <c r="F27" s="70" t="s">
        <v>120</v>
      </c>
      <c r="G27" s="66"/>
      <c r="H27" s="67"/>
      <c r="I27" s="67"/>
      <c r="J27" s="67"/>
      <c r="K27" s="67"/>
      <c r="L27" s="67"/>
      <c r="M27" s="67"/>
      <c r="N27" s="67"/>
      <c r="O27" s="67"/>
    </row>
    <row r="28" ht="28.5" customHeight="1">
      <c r="A28" s="9">
        <v>27.0</v>
      </c>
      <c r="B28" s="75" t="s">
        <v>146</v>
      </c>
      <c r="C28" s="62" t="s">
        <v>148</v>
      </c>
      <c r="D28" s="37" t="s">
        <v>149</v>
      </c>
      <c r="E28" s="14" t="s">
        <v>129</v>
      </c>
      <c r="F28" s="70" t="s">
        <v>150</v>
      </c>
      <c r="G28" s="66"/>
      <c r="H28" s="67"/>
      <c r="I28" s="67"/>
      <c r="J28" s="67"/>
      <c r="K28" s="67"/>
      <c r="L28" s="67"/>
      <c r="M28" s="67"/>
      <c r="N28" s="67"/>
      <c r="O28" s="67"/>
    </row>
    <row r="29" ht="28.5" customHeight="1">
      <c r="A29" s="9">
        <v>28.0</v>
      </c>
      <c r="B29" s="17" t="s">
        <v>151</v>
      </c>
      <c r="C29" s="69" t="s">
        <v>152</v>
      </c>
      <c r="D29" s="37" t="s">
        <v>153</v>
      </c>
      <c r="E29" s="21"/>
      <c r="F29" s="76" t="s">
        <v>154</v>
      </c>
      <c r="G29" s="66"/>
      <c r="H29" s="67"/>
      <c r="I29" s="67"/>
      <c r="J29" s="67"/>
      <c r="K29" s="67"/>
      <c r="L29" s="67"/>
      <c r="M29" s="67"/>
      <c r="N29" s="67"/>
      <c r="O29" s="67"/>
    </row>
    <row r="30" ht="28.5" customHeight="1">
      <c r="A30" s="16">
        <v>29.0</v>
      </c>
      <c r="B30" s="17" t="s">
        <v>158</v>
      </c>
      <c r="C30" s="69" t="s">
        <v>159</v>
      </c>
      <c r="D30" s="37" t="s">
        <v>153</v>
      </c>
      <c r="E30" s="21"/>
      <c r="F30" s="76" t="s">
        <v>154</v>
      </c>
      <c r="G30" s="66"/>
      <c r="H30" s="67"/>
      <c r="I30" s="67"/>
      <c r="J30" s="67"/>
      <c r="K30" s="67"/>
      <c r="L30" s="67"/>
      <c r="M30" s="67"/>
      <c r="N30" s="67"/>
      <c r="O30" s="67"/>
    </row>
    <row r="31" ht="28.5" customHeight="1">
      <c r="A31" s="9">
        <v>30.0</v>
      </c>
      <c r="B31" s="17" t="s">
        <v>162</v>
      </c>
      <c r="C31" s="69" t="s">
        <v>163</v>
      </c>
      <c r="D31" s="37" t="s">
        <v>149</v>
      </c>
      <c r="E31" s="14" t="s">
        <v>129</v>
      </c>
      <c r="F31" s="70" t="s">
        <v>150</v>
      </c>
      <c r="G31" s="66"/>
      <c r="H31" s="67"/>
      <c r="I31" s="67"/>
      <c r="J31" s="67"/>
      <c r="K31" s="67"/>
      <c r="L31" s="67"/>
      <c r="M31" s="67"/>
      <c r="N31" s="67"/>
      <c r="O31" s="67"/>
    </row>
    <row r="32" ht="28.5" customHeight="1">
      <c r="A32" s="9">
        <v>31.0</v>
      </c>
      <c r="B32" s="17" t="s">
        <v>166</v>
      </c>
      <c r="C32" s="62" t="s">
        <v>167</v>
      </c>
      <c r="D32" s="37" t="s">
        <v>118</v>
      </c>
      <c r="E32" s="14" t="s">
        <v>129</v>
      </c>
      <c r="F32" s="27" t="s">
        <v>168</v>
      </c>
    </row>
    <row r="33" ht="28.5" customHeight="1">
      <c r="A33" s="16">
        <v>32.0</v>
      </c>
      <c r="B33" s="21" t="s">
        <v>169</v>
      </c>
      <c r="C33" s="62" t="s">
        <v>170</v>
      </c>
      <c r="D33" s="37" t="s">
        <v>118</v>
      </c>
      <c r="E33" s="14" t="s">
        <v>129</v>
      </c>
      <c r="F33" s="70" t="s">
        <v>171</v>
      </c>
    </row>
    <row r="34" ht="28.5" customHeight="1">
      <c r="A34" s="9">
        <v>33.0</v>
      </c>
      <c r="B34" s="21" t="s">
        <v>172</v>
      </c>
      <c r="C34" s="62" t="s">
        <v>173</v>
      </c>
      <c r="D34" s="37" t="s">
        <v>118</v>
      </c>
      <c r="E34" s="14" t="s">
        <v>129</v>
      </c>
      <c r="F34" s="72" t="s">
        <v>120</v>
      </c>
    </row>
    <row r="35" ht="28.5" customHeight="1">
      <c r="A35" s="9">
        <v>34.0</v>
      </c>
      <c r="B35" s="21" t="s">
        <v>176</v>
      </c>
      <c r="C35" s="62" t="s">
        <v>178</v>
      </c>
      <c r="D35" s="37" t="s">
        <v>118</v>
      </c>
      <c r="E35" s="14" t="s">
        <v>129</v>
      </c>
      <c r="F35" s="27" t="s">
        <v>180</v>
      </c>
    </row>
    <row r="36" ht="28.5" customHeight="1">
      <c r="A36" s="16">
        <v>35.0</v>
      </c>
      <c r="B36" s="21" t="s">
        <v>181</v>
      </c>
      <c r="C36" s="78" t="s">
        <v>182</v>
      </c>
      <c r="D36" s="37" t="s">
        <v>153</v>
      </c>
      <c r="E36" s="21"/>
      <c r="F36" s="17" t="s">
        <v>183</v>
      </c>
    </row>
    <row r="37" ht="28.5" customHeight="1">
      <c r="A37" s="9">
        <v>36.0</v>
      </c>
      <c r="B37" s="37" t="s">
        <v>184</v>
      </c>
      <c r="C37" s="80" t="s">
        <v>186</v>
      </c>
      <c r="D37" s="37" t="s">
        <v>118</v>
      </c>
      <c r="E37" s="37" t="s">
        <v>119</v>
      </c>
      <c r="F37" s="27" t="s">
        <v>180</v>
      </c>
    </row>
    <row r="38" ht="28.5" customHeight="1">
      <c r="A38" s="9">
        <v>37.0</v>
      </c>
      <c r="B38" s="37" t="s">
        <v>188</v>
      </c>
      <c r="C38" s="80" t="s">
        <v>189</v>
      </c>
      <c r="D38" s="37" t="s">
        <v>190</v>
      </c>
      <c r="E38" s="37" t="s">
        <v>119</v>
      </c>
      <c r="F38" s="82" t="s">
        <v>193</v>
      </c>
    </row>
    <row r="39" ht="28.5" customHeight="1">
      <c r="A39" s="16">
        <v>38.0</v>
      </c>
      <c r="B39" s="37" t="s">
        <v>195</v>
      </c>
      <c r="C39" s="80" t="s">
        <v>197</v>
      </c>
      <c r="D39" s="37" t="s">
        <v>118</v>
      </c>
      <c r="E39" s="37" t="s">
        <v>119</v>
      </c>
      <c r="F39" s="70" t="s">
        <v>120</v>
      </c>
    </row>
    <row r="40" ht="28.5" customHeight="1">
      <c r="A40" s="9">
        <v>39.0</v>
      </c>
      <c r="B40" s="37" t="s">
        <v>199</v>
      </c>
      <c r="C40" s="80" t="s">
        <v>200</v>
      </c>
      <c r="D40" s="37" t="s">
        <v>118</v>
      </c>
      <c r="E40" s="37" t="s">
        <v>119</v>
      </c>
      <c r="F40" s="23" t="s">
        <v>105</v>
      </c>
    </row>
    <row r="41" ht="28.5" customHeight="1">
      <c r="A41" s="9">
        <v>40.0</v>
      </c>
      <c r="B41" s="37" t="s">
        <v>201</v>
      </c>
      <c r="C41" s="80" t="s">
        <v>202</v>
      </c>
      <c r="D41" s="37" t="s">
        <v>118</v>
      </c>
      <c r="E41" s="37" t="s">
        <v>119</v>
      </c>
      <c r="F41" s="23" t="s">
        <v>105</v>
      </c>
    </row>
    <row r="42" ht="28.5" customHeight="1">
      <c r="A42" s="16">
        <v>41.0</v>
      </c>
      <c r="B42" s="37" t="s">
        <v>203</v>
      </c>
      <c r="C42" s="80" t="s">
        <v>204</v>
      </c>
      <c r="D42" s="37" t="s">
        <v>118</v>
      </c>
      <c r="E42" s="37" t="s">
        <v>119</v>
      </c>
      <c r="F42" s="27" t="s">
        <v>168</v>
      </c>
    </row>
    <row r="43" ht="28.5" customHeight="1">
      <c r="A43" s="9">
        <v>42.0</v>
      </c>
      <c r="B43" s="37" t="s">
        <v>206</v>
      </c>
      <c r="C43" s="80" t="s">
        <v>208</v>
      </c>
      <c r="D43" s="37" t="s">
        <v>153</v>
      </c>
      <c r="E43" s="21"/>
      <c r="F43" s="23" t="s">
        <v>105</v>
      </c>
    </row>
    <row r="44" ht="28.5" customHeight="1">
      <c r="A44" s="9">
        <v>43.0</v>
      </c>
      <c r="B44" s="37" t="s">
        <v>209</v>
      </c>
      <c r="C44" s="80" t="s">
        <v>210</v>
      </c>
      <c r="D44" s="37" t="s">
        <v>153</v>
      </c>
      <c r="E44" s="21"/>
      <c r="F44" s="72" t="s">
        <v>120</v>
      </c>
    </row>
    <row r="45" ht="28.5" customHeight="1">
      <c r="A45" s="16">
        <v>44.0</v>
      </c>
      <c r="B45" s="37" t="s">
        <v>211</v>
      </c>
      <c r="C45" s="80" t="s">
        <v>212</v>
      </c>
      <c r="D45" s="37" t="s">
        <v>153</v>
      </c>
      <c r="E45" s="21"/>
      <c r="F45" s="72" t="s">
        <v>120</v>
      </c>
    </row>
    <row r="46" ht="28.5" customHeight="1">
      <c r="A46" s="9">
        <v>45.0</v>
      </c>
      <c r="B46" s="95" t="s">
        <v>216</v>
      </c>
      <c r="C46" s="80" t="s">
        <v>231</v>
      </c>
      <c r="D46" s="37" t="s">
        <v>118</v>
      </c>
      <c r="E46" s="37" t="s">
        <v>119</v>
      </c>
      <c r="F46" s="72" t="s">
        <v>120</v>
      </c>
    </row>
    <row r="47" ht="28.5" customHeight="1">
      <c r="A47" s="9">
        <v>46.0</v>
      </c>
      <c r="B47" s="97" t="s">
        <v>232</v>
      </c>
      <c r="C47" s="98" t="s">
        <v>235</v>
      </c>
      <c r="D47" s="37" t="s">
        <v>153</v>
      </c>
      <c r="E47" s="100"/>
      <c r="F47" s="72" t="s">
        <v>237</v>
      </c>
      <c r="G47" s="101"/>
      <c r="H47" s="68"/>
      <c r="I47" s="68"/>
      <c r="J47" s="68"/>
      <c r="K47" s="68"/>
      <c r="L47" s="68"/>
      <c r="M47" s="68"/>
      <c r="N47" s="68"/>
      <c r="O47" s="68"/>
    </row>
    <row r="48" ht="28.5" customHeight="1">
      <c r="A48" s="16">
        <v>47.0</v>
      </c>
      <c r="B48" s="97" t="s">
        <v>240</v>
      </c>
      <c r="C48" s="98" t="s">
        <v>241</v>
      </c>
      <c r="D48" s="37" t="s">
        <v>153</v>
      </c>
      <c r="E48" s="100"/>
      <c r="F48" s="72" t="s">
        <v>242</v>
      </c>
      <c r="G48" s="101"/>
      <c r="H48" s="68"/>
      <c r="I48" s="68"/>
      <c r="J48" s="68"/>
      <c r="K48" s="68"/>
      <c r="L48" s="68"/>
      <c r="M48" s="68"/>
      <c r="N48" s="68"/>
      <c r="O48" s="68"/>
    </row>
    <row r="49" ht="28.5" customHeight="1">
      <c r="A49" s="9">
        <v>48.0</v>
      </c>
      <c r="B49" s="97" t="s">
        <v>243</v>
      </c>
      <c r="C49" s="98" t="s">
        <v>244</v>
      </c>
      <c r="D49" s="37" t="s">
        <v>153</v>
      </c>
      <c r="E49" s="100"/>
      <c r="F49" s="23" t="s">
        <v>105</v>
      </c>
      <c r="G49" s="101"/>
      <c r="H49" s="68"/>
      <c r="I49" s="68"/>
      <c r="J49" s="68"/>
      <c r="K49" s="68"/>
      <c r="L49" s="68"/>
      <c r="M49" s="68"/>
      <c r="N49" s="68"/>
      <c r="O49" s="68"/>
    </row>
    <row r="50" ht="16.5" customHeight="1">
      <c r="A50" s="5"/>
      <c r="B50" s="5"/>
      <c r="C50" s="108"/>
      <c r="D50" s="5"/>
      <c r="E50" s="5"/>
      <c r="F50" s="68"/>
      <c r="G50" s="5"/>
      <c r="H50" s="5"/>
      <c r="I50" s="5"/>
      <c r="J50" s="5"/>
      <c r="K50" s="5"/>
      <c r="L50" s="5"/>
      <c r="M50" s="5"/>
      <c r="N50" s="5"/>
      <c r="O50" s="5"/>
    </row>
    <row r="51" ht="15.75" customHeight="1">
      <c r="C51" s="108"/>
      <c r="F51" s="113"/>
    </row>
    <row r="52" ht="15.75" customHeight="1">
      <c r="C52" s="108"/>
      <c r="F52" s="113"/>
    </row>
    <row r="53" ht="15.75" customHeight="1">
      <c r="C53" s="108"/>
      <c r="F53" s="113"/>
    </row>
    <row r="54" ht="15.75" customHeight="1">
      <c r="C54" s="108"/>
      <c r="F54" s="113"/>
    </row>
    <row r="55" ht="15.75" customHeight="1">
      <c r="C55" s="108"/>
      <c r="F55" s="113"/>
    </row>
    <row r="56" ht="15.75" customHeight="1">
      <c r="C56" s="108"/>
      <c r="F56" s="113"/>
    </row>
    <row r="57" ht="15.75" customHeight="1">
      <c r="C57" s="108"/>
      <c r="F57" s="113"/>
    </row>
    <row r="58" ht="15.75" customHeight="1">
      <c r="C58" s="108"/>
      <c r="F58" s="113"/>
    </row>
    <row r="59" ht="15.75" customHeight="1">
      <c r="C59" s="108"/>
      <c r="F59" s="113"/>
    </row>
    <row r="60" ht="15.75" customHeight="1">
      <c r="C60" s="108"/>
      <c r="F60" s="113"/>
    </row>
    <row r="61" ht="15.75" customHeight="1">
      <c r="C61" s="108"/>
      <c r="F61" s="113"/>
    </row>
    <row r="62" ht="15.75" customHeight="1">
      <c r="C62" s="108"/>
      <c r="F62" s="113"/>
    </row>
    <row r="63" ht="15.75" customHeight="1">
      <c r="C63" s="108"/>
      <c r="F63" s="113"/>
    </row>
    <row r="64" ht="15.75" customHeight="1">
      <c r="C64" s="108"/>
      <c r="F64" s="113"/>
    </row>
    <row r="65" ht="15.75" customHeight="1">
      <c r="C65" s="108"/>
      <c r="F65" s="113"/>
    </row>
    <row r="66" ht="15.75" customHeight="1">
      <c r="C66" s="108"/>
      <c r="F66" s="113"/>
    </row>
    <row r="67" ht="15.75" customHeight="1">
      <c r="C67" s="108"/>
      <c r="F67" s="113"/>
    </row>
    <row r="68" ht="15.75" customHeight="1">
      <c r="C68" s="108"/>
      <c r="F68" s="113"/>
    </row>
    <row r="69" ht="15.75" customHeight="1">
      <c r="C69" s="108"/>
      <c r="F69" s="113"/>
    </row>
    <row r="70" ht="15.75" customHeight="1">
      <c r="C70" s="108"/>
      <c r="F70" s="113"/>
    </row>
    <row r="71" ht="15.75" customHeight="1">
      <c r="C71" s="108"/>
      <c r="F71" s="113"/>
    </row>
    <row r="72" ht="15.75" customHeight="1">
      <c r="C72" s="108"/>
      <c r="F72" s="113"/>
    </row>
    <row r="73" ht="15.75" customHeight="1">
      <c r="C73" s="108"/>
      <c r="F73" s="113"/>
    </row>
    <row r="74" ht="15.75" customHeight="1">
      <c r="C74" s="108"/>
      <c r="F74" s="113"/>
    </row>
    <row r="75" ht="15.75" customHeight="1">
      <c r="C75" s="108"/>
      <c r="F75" s="113"/>
    </row>
    <row r="76" ht="15.75" customHeight="1">
      <c r="C76" s="108"/>
      <c r="F76" s="113"/>
    </row>
    <row r="77" ht="15.75" customHeight="1">
      <c r="C77" s="108"/>
      <c r="F77" s="113"/>
    </row>
    <row r="78" ht="15.75" customHeight="1">
      <c r="C78" s="108"/>
      <c r="F78" s="113"/>
    </row>
    <row r="79" ht="15.75" customHeight="1">
      <c r="C79" s="108"/>
      <c r="F79" s="113"/>
    </row>
    <row r="80" ht="15.75" customHeight="1">
      <c r="C80" s="108"/>
      <c r="F80" s="113"/>
    </row>
    <row r="81" ht="15.75" customHeight="1">
      <c r="C81" s="108"/>
      <c r="F81" s="113"/>
    </row>
    <row r="82" ht="15.75" customHeight="1">
      <c r="C82" s="108"/>
      <c r="F82" s="113"/>
    </row>
    <row r="83" ht="15.75" customHeight="1">
      <c r="C83" s="108"/>
      <c r="F83" s="113"/>
    </row>
    <row r="84" ht="15.75" customHeight="1">
      <c r="C84" s="108"/>
      <c r="F84" s="113"/>
    </row>
    <row r="85" ht="15.75" customHeight="1">
      <c r="C85" s="108"/>
      <c r="F85" s="113"/>
    </row>
    <row r="86" ht="15.75" customHeight="1">
      <c r="C86" s="108"/>
      <c r="F86" s="113"/>
    </row>
    <row r="87" ht="15.75" customHeight="1">
      <c r="C87" s="108"/>
      <c r="F87" s="113"/>
    </row>
    <row r="88" ht="15.75" customHeight="1">
      <c r="C88" s="108"/>
      <c r="F88" s="113"/>
    </row>
    <row r="89" ht="15.75" customHeight="1">
      <c r="C89" s="108"/>
      <c r="F89" s="113"/>
    </row>
    <row r="90" ht="15.75" customHeight="1">
      <c r="C90" s="108"/>
      <c r="F90" s="113"/>
    </row>
    <row r="91" ht="15.75" customHeight="1">
      <c r="C91" s="108"/>
      <c r="F91" s="113"/>
    </row>
    <row r="92" ht="15.75" customHeight="1">
      <c r="C92" s="108"/>
      <c r="F92" s="113"/>
    </row>
    <row r="93" ht="15.75" customHeight="1">
      <c r="C93" s="108"/>
      <c r="F93" s="113"/>
    </row>
    <row r="94" ht="15.75" customHeight="1">
      <c r="C94" s="108"/>
      <c r="F94" s="113"/>
    </row>
    <row r="95" ht="15.75" customHeight="1">
      <c r="C95" s="108"/>
      <c r="F95" s="113"/>
    </row>
    <row r="96" ht="15.75" customHeight="1">
      <c r="C96" s="108"/>
      <c r="F96" s="113"/>
    </row>
    <row r="97" ht="15.75" customHeight="1">
      <c r="C97" s="108"/>
      <c r="F97" s="113"/>
    </row>
    <row r="98" ht="15.75" customHeight="1">
      <c r="C98" s="108"/>
      <c r="F98" s="113"/>
    </row>
    <row r="99" ht="15.75" customHeight="1">
      <c r="C99" s="108"/>
      <c r="F99" s="113"/>
    </row>
    <row r="100" ht="15.75" customHeight="1">
      <c r="C100" s="108"/>
      <c r="F100" s="113"/>
    </row>
    <row r="101" ht="15.75" customHeight="1">
      <c r="C101" s="108"/>
      <c r="F101" s="113"/>
    </row>
    <row r="102" ht="15.75" customHeight="1">
      <c r="C102" s="108"/>
      <c r="F102" s="113"/>
    </row>
    <row r="103" ht="15.75" customHeight="1">
      <c r="C103" s="108"/>
      <c r="F103" s="113"/>
    </row>
    <row r="104" ht="15.75" customHeight="1">
      <c r="C104" s="108"/>
      <c r="F104" s="113"/>
    </row>
    <row r="105" ht="15.75" customHeight="1">
      <c r="C105" s="108"/>
      <c r="F105" s="113"/>
    </row>
    <row r="106" ht="15.75" customHeight="1">
      <c r="C106" s="108"/>
      <c r="F106" s="113"/>
    </row>
    <row r="107" ht="15.75" customHeight="1">
      <c r="C107" s="108"/>
      <c r="F107" s="113"/>
    </row>
    <row r="108" ht="15.75" customHeight="1">
      <c r="C108" s="108"/>
      <c r="F108" s="113"/>
    </row>
    <row r="109" ht="15.75" customHeight="1">
      <c r="C109" s="108"/>
      <c r="F109" s="113"/>
    </row>
    <row r="110" ht="15.75" customHeight="1">
      <c r="C110" s="108"/>
      <c r="F110" s="113"/>
    </row>
    <row r="111" ht="15.75" customHeight="1">
      <c r="C111" s="108"/>
      <c r="F111" s="113"/>
    </row>
    <row r="112" ht="15.75" customHeight="1">
      <c r="C112" s="108"/>
      <c r="F112" s="113"/>
    </row>
    <row r="113" ht="15.75" customHeight="1">
      <c r="C113" s="108"/>
      <c r="F113" s="113"/>
    </row>
    <row r="114" ht="15.75" customHeight="1">
      <c r="C114" s="108"/>
      <c r="F114" s="113"/>
    </row>
    <row r="115" ht="15.75" customHeight="1">
      <c r="C115" s="108"/>
      <c r="F115" s="113"/>
    </row>
    <row r="116" ht="15.75" customHeight="1">
      <c r="C116" s="108"/>
      <c r="F116" s="113"/>
    </row>
    <row r="117" ht="15.75" customHeight="1">
      <c r="C117" s="108"/>
      <c r="F117" s="113"/>
    </row>
    <row r="118" ht="15.75" customHeight="1">
      <c r="C118" s="108"/>
      <c r="F118" s="113"/>
    </row>
    <row r="119" ht="15.75" customHeight="1">
      <c r="C119" s="108"/>
      <c r="F119" s="113"/>
    </row>
    <row r="120" ht="15.75" customHeight="1">
      <c r="C120" s="108"/>
      <c r="F120" s="113"/>
    </row>
    <row r="121" ht="15.75" customHeight="1">
      <c r="C121" s="108"/>
      <c r="F121" s="113"/>
    </row>
    <row r="122" ht="15.75" customHeight="1">
      <c r="C122" s="108"/>
      <c r="F122" s="113"/>
    </row>
    <row r="123" ht="15.75" customHeight="1">
      <c r="C123" s="108"/>
      <c r="F123" s="113"/>
    </row>
    <row r="124" ht="15.75" customHeight="1">
      <c r="C124" s="108"/>
      <c r="F124" s="113"/>
    </row>
    <row r="125" ht="15.75" customHeight="1">
      <c r="C125" s="108"/>
      <c r="F125" s="113"/>
    </row>
    <row r="126" ht="15.75" customHeight="1">
      <c r="C126" s="108"/>
      <c r="F126" s="113"/>
    </row>
    <row r="127" ht="15.75" customHeight="1">
      <c r="C127" s="108"/>
      <c r="F127" s="113"/>
    </row>
    <row r="128" ht="15.75" customHeight="1">
      <c r="C128" s="108"/>
      <c r="F128" s="113"/>
    </row>
    <row r="129" ht="15.75" customHeight="1">
      <c r="C129" s="108"/>
      <c r="F129" s="113"/>
    </row>
    <row r="130" ht="15.75" customHeight="1">
      <c r="C130" s="108"/>
      <c r="F130" s="113"/>
    </row>
    <row r="131" ht="15.75" customHeight="1">
      <c r="C131" s="108"/>
      <c r="F131" s="113"/>
    </row>
    <row r="132" ht="15.75" customHeight="1">
      <c r="C132" s="108"/>
      <c r="F132" s="113"/>
    </row>
    <row r="133" ht="15.75" customHeight="1">
      <c r="C133" s="108"/>
      <c r="F133" s="113"/>
    </row>
    <row r="134" ht="15.75" customHeight="1">
      <c r="C134" s="108"/>
      <c r="F134" s="113"/>
    </row>
    <row r="135" ht="15.75" customHeight="1">
      <c r="C135" s="108"/>
      <c r="F135" s="113"/>
    </row>
    <row r="136" ht="15.75" customHeight="1">
      <c r="C136" s="108"/>
      <c r="F136" s="113"/>
    </row>
    <row r="137" ht="15.75" customHeight="1">
      <c r="C137" s="108"/>
      <c r="F137" s="113"/>
    </row>
    <row r="138" ht="15.75" customHeight="1">
      <c r="C138" s="108"/>
      <c r="F138" s="113"/>
    </row>
    <row r="139" ht="15.75" customHeight="1">
      <c r="C139" s="108"/>
      <c r="F139" s="113"/>
    </row>
    <row r="140" ht="15.75" customHeight="1">
      <c r="C140" s="108"/>
      <c r="F140" s="113"/>
    </row>
    <row r="141" ht="15.75" customHeight="1">
      <c r="C141" s="108"/>
      <c r="F141" s="113"/>
    </row>
    <row r="142" ht="15.75" customHeight="1">
      <c r="C142" s="108"/>
      <c r="F142" s="113"/>
    </row>
    <row r="143" ht="15.75" customHeight="1">
      <c r="C143" s="108"/>
      <c r="F143" s="113"/>
    </row>
    <row r="144" ht="15.75" customHeight="1">
      <c r="C144" s="108"/>
      <c r="F144" s="113"/>
    </row>
    <row r="145" ht="15.75" customHeight="1">
      <c r="C145" s="108"/>
      <c r="F145" s="113"/>
    </row>
    <row r="146" ht="15.75" customHeight="1">
      <c r="C146" s="108"/>
      <c r="F146" s="113"/>
    </row>
    <row r="147" ht="15.75" customHeight="1">
      <c r="C147" s="108"/>
      <c r="F147" s="113"/>
    </row>
    <row r="148" ht="15.75" customHeight="1">
      <c r="C148" s="108"/>
      <c r="F148" s="113"/>
    </row>
    <row r="149" ht="15.75" customHeight="1">
      <c r="C149" s="108"/>
      <c r="F149" s="113"/>
    </row>
    <row r="150" ht="15.75" customHeight="1">
      <c r="C150" s="108"/>
      <c r="F150" s="113"/>
    </row>
    <row r="151" ht="15.75" customHeight="1">
      <c r="C151" s="108"/>
      <c r="F151" s="113"/>
    </row>
    <row r="152" ht="15.75" customHeight="1">
      <c r="C152" s="108"/>
      <c r="F152" s="113"/>
    </row>
    <row r="153" ht="15.75" customHeight="1">
      <c r="C153" s="108"/>
      <c r="F153" s="113"/>
    </row>
    <row r="154" ht="15.75" customHeight="1">
      <c r="C154" s="108"/>
      <c r="F154" s="113"/>
    </row>
    <row r="155" ht="15.75" customHeight="1">
      <c r="C155" s="108"/>
      <c r="F155" s="113"/>
    </row>
    <row r="156" ht="15.75" customHeight="1">
      <c r="C156" s="108"/>
      <c r="F156" s="113"/>
    </row>
    <row r="157" ht="15.75" customHeight="1">
      <c r="C157" s="108"/>
      <c r="F157" s="113"/>
    </row>
    <row r="158" ht="15.75" customHeight="1">
      <c r="C158" s="108"/>
      <c r="F158" s="113"/>
    </row>
    <row r="159" ht="15.75" customHeight="1">
      <c r="C159" s="108"/>
      <c r="F159" s="113"/>
    </row>
    <row r="160" ht="15.75" customHeight="1">
      <c r="C160" s="108"/>
      <c r="F160" s="113"/>
    </row>
    <row r="161" ht="15.75" customHeight="1">
      <c r="C161" s="108"/>
      <c r="F161" s="113"/>
    </row>
    <row r="162" ht="15.75" customHeight="1">
      <c r="C162" s="108"/>
      <c r="F162" s="113"/>
    </row>
    <row r="163" ht="15.75" customHeight="1">
      <c r="C163" s="108"/>
      <c r="F163" s="113"/>
    </row>
    <row r="164" ht="15.75" customHeight="1">
      <c r="C164" s="108"/>
      <c r="F164" s="113"/>
    </row>
    <row r="165" ht="15.75" customHeight="1">
      <c r="C165" s="108"/>
      <c r="F165" s="113"/>
    </row>
    <row r="166" ht="15.75" customHeight="1">
      <c r="C166" s="108"/>
      <c r="F166" s="113"/>
    </row>
    <row r="167" ht="15.75" customHeight="1">
      <c r="C167" s="108"/>
      <c r="F167" s="113"/>
    </row>
    <row r="168" ht="15.75" customHeight="1">
      <c r="C168" s="108"/>
      <c r="F168" s="113"/>
    </row>
    <row r="169" ht="15.75" customHeight="1">
      <c r="C169" s="108"/>
      <c r="F169" s="113"/>
    </row>
    <row r="170" ht="15.75" customHeight="1">
      <c r="C170" s="108"/>
      <c r="F170" s="113"/>
    </row>
    <row r="171" ht="15.75" customHeight="1">
      <c r="C171" s="108"/>
      <c r="F171" s="113"/>
    </row>
    <row r="172" ht="15.75" customHeight="1">
      <c r="C172" s="108"/>
      <c r="F172" s="113"/>
    </row>
    <row r="173" ht="15.75" customHeight="1">
      <c r="C173" s="108"/>
      <c r="F173" s="113"/>
    </row>
    <row r="174" ht="15.75" customHeight="1">
      <c r="C174" s="108"/>
      <c r="F174" s="113"/>
    </row>
    <row r="175" ht="15.75" customHeight="1">
      <c r="C175" s="108"/>
      <c r="F175" s="113"/>
    </row>
    <row r="176" ht="15.75" customHeight="1">
      <c r="C176" s="108"/>
      <c r="F176" s="113"/>
    </row>
    <row r="177" ht="15.75" customHeight="1">
      <c r="C177" s="108"/>
      <c r="F177" s="113"/>
    </row>
    <row r="178" ht="15.75" customHeight="1">
      <c r="C178" s="108"/>
      <c r="F178" s="113"/>
    </row>
    <row r="179" ht="15.75" customHeight="1">
      <c r="C179" s="108"/>
      <c r="F179" s="113"/>
    </row>
    <row r="180" ht="15.75" customHeight="1">
      <c r="C180" s="108"/>
      <c r="F180" s="113"/>
    </row>
    <row r="181" ht="15.75" customHeight="1">
      <c r="C181" s="108"/>
      <c r="F181" s="113"/>
    </row>
    <row r="182" ht="15.75" customHeight="1">
      <c r="C182" s="108"/>
      <c r="F182" s="113"/>
    </row>
    <row r="183" ht="15.75" customHeight="1">
      <c r="C183" s="108"/>
      <c r="F183" s="113"/>
    </row>
    <row r="184" ht="15.75" customHeight="1">
      <c r="C184" s="108"/>
      <c r="F184" s="113"/>
    </row>
    <row r="185" ht="15.75" customHeight="1">
      <c r="C185" s="108"/>
      <c r="F185" s="113"/>
    </row>
    <row r="186" ht="15.75" customHeight="1">
      <c r="C186" s="108"/>
      <c r="F186" s="113"/>
    </row>
    <row r="187" ht="15.75" customHeight="1">
      <c r="C187" s="108"/>
      <c r="F187" s="113"/>
    </row>
    <row r="188" ht="15.75" customHeight="1">
      <c r="C188" s="108"/>
      <c r="F188" s="113"/>
    </row>
    <row r="189" ht="15.75" customHeight="1">
      <c r="C189" s="108"/>
      <c r="F189" s="113"/>
    </row>
    <row r="190" ht="15.75" customHeight="1">
      <c r="C190" s="108"/>
      <c r="F190" s="113"/>
    </row>
    <row r="191" ht="15.75" customHeight="1">
      <c r="C191" s="108"/>
      <c r="F191" s="113"/>
    </row>
    <row r="192" ht="15.75" customHeight="1">
      <c r="C192" s="108"/>
      <c r="F192" s="113"/>
    </row>
    <row r="193" ht="15.75" customHeight="1">
      <c r="C193" s="108"/>
      <c r="F193" s="113"/>
    </row>
    <row r="194" ht="15.75" customHeight="1">
      <c r="C194" s="108"/>
      <c r="F194" s="113"/>
    </row>
    <row r="195" ht="15.75" customHeight="1">
      <c r="C195" s="108"/>
      <c r="F195" s="113"/>
    </row>
    <row r="196" ht="15.75" customHeight="1">
      <c r="C196" s="108"/>
      <c r="F196" s="113"/>
    </row>
    <row r="197" ht="15.75" customHeight="1">
      <c r="C197" s="108"/>
      <c r="F197" s="113"/>
    </row>
    <row r="198" ht="15.75" customHeight="1">
      <c r="C198" s="108"/>
      <c r="F198" s="113"/>
    </row>
    <row r="199" ht="15.75" customHeight="1">
      <c r="C199" s="108"/>
      <c r="F199" s="113"/>
    </row>
    <row r="200" ht="15.75" customHeight="1">
      <c r="C200" s="108"/>
      <c r="F200" s="113"/>
    </row>
    <row r="201" ht="15.75" customHeight="1">
      <c r="C201" s="108"/>
      <c r="F201" s="113"/>
    </row>
    <row r="202" ht="15.75" customHeight="1">
      <c r="C202" s="108"/>
      <c r="F202" s="113"/>
    </row>
    <row r="203" ht="15.75" customHeight="1">
      <c r="C203" s="108"/>
      <c r="F203" s="113"/>
    </row>
    <row r="204" ht="15.75" customHeight="1">
      <c r="C204" s="108"/>
      <c r="F204" s="113"/>
    </row>
    <row r="205" ht="15.75" customHeight="1">
      <c r="C205" s="108"/>
      <c r="F205" s="113"/>
    </row>
    <row r="206" ht="15.75" customHeight="1">
      <c r="C206" s="108"/>
      <c r="F206" s="113"/>
    </row>
    <row r="207" ht="15.75" customHeight="1">
      <c r="C207" s="108"/>
      <c r="F207" s="113"/>
    </row>
    <row r="208" ht="15.75" customHeight="1">
      <c r="C208" s="108"/>
      <c r="F208" s="113"/>
    </row>
    <row r="209" ht="15.75" customHeight="1">
      <c r="C209" s="108"/>
      <c r="F209" s="113"/>
    </row>
    <row r="210" ht="15.75" customHeight="1">
      <c r="C210" s="108"/>
      <c r="F210" s="113"/>
    </row>
    <row r="211" ht="15.75" customHeight="1">
      <c r="C211" s="108"/>
      <c r="F211" s="113"/>
    </row>
    <row r="212" ht="15.75" customHeight="1">
      <c r="C212" s="108"/>
      <c r="F212" s="113"/>
    </row>
    <row r="213" ht="15.75" customHeight="1">
      <c r="C213" s="108"/>
      <c r="F213" s="113"/>
    </row>
    <row r="214" ht="15.75" customHeight="1">
      <c r="C214" s="108"/>
      <c r="F214" s="113"/>
    </row>
    <row r="215" ht="15.75" customHeight="1">
      <c r="C215" s="108"/>
      <c r="F215" s="113"/>
    </row>
    <row r="216" ht="15.75" customHeight="1">
      <c r="C216" s="108"/>
      <c r="F216" s="113"/>
    </row>
    <row r="217" ht="15.75" customHeight="1">
      <c r="C217" s="108"/>
      <c r="F217" s="113"/>
    </row>
    <row r="218" ht="15.75" customHeight="1">
      <c r="C218" s="108"/>
      <c r="F218" s="113"/>
    </row>
    <row r="219" ht="15.75" customHeight="1">
      <c r="C219" s="108"/>
      <c r="F219" s="113"/>
    </row>
    <row r="220" ht="15.75" customHeight="1">
      <c r="C220" s="108"/>
      <c r="F220" s="113"/>
    </row>
    <row r="221" ht="15.75" customHeight="1">
      <c r="C221" s="108"/>
      <c r="F221" s="113"/>
    </row>
    <row r="222" ht="15.75" customHeight="1">
      <c r="C222" s="108"/>
      <c r="F222" s="113"/>
    </row>
    <row r="223" ht="15.75" customHeight="1">
      <c r="C223" s="108"/>
      <c r="F223" s="113"/>
    </row>
    <row r="224" ht="15.75" customHeight="1">
      <c r="C224" s="108"/>
      <c r="F224" s="113"/>
    </row>
    <row r="225" ht="15.75" customHeight="1">
      <c r="C225" s="108"/>
      <c r="F225" s="113"/>
    </row>
    <row r="226" ht="15.75" customHeight="1">
      <c r="C226" s="108"/>
      <c r="F226" s="113"/>
    </row>
    <row r="227" ht="15.75" customHeight="1">
      <c r="C227" s="108"/>
      <c r="F227" s="113"/>
    </row>
    <row r="228" ht="15.75" customHeight="1">
      <c r="C228" s="108"/>
      <c r="F228" s="113"/>
    </row>
    <row r="229" ht="15.75" customHeight="1">
      <c r="C229" s="108"/>
      <c r="F229" s="113"/>
    </row>
    <row r="230" ht="15.75" customHeight="1">
      <c r="C230" s="108"/>
      <c r="F230" s="113"/>
    </row>
    <row r="231" ht="15.75" customHeight="1">
      <c r="C231" s="108"/>
      <c r="F231" s="113"/>
    </row>
    <row r="232" ht="15.75" customHeight="1">
      <c r="C232" s="108"/>
      <c r="F232" s="113"/>
    </row>
    <row r="233" ht="15.75" customHeight="1">
      <c r="C233" s="108"/>
      <c r="F233" s="113"/>
    </row>
    <row r="234" ht="15.75" customHeight="1">
      <c r="C234" s="108"/>
      <c r="F234" s="113"/>
    </row>
    <row r="235" ht="15.75" customHeight="1">
      <c r="C235" s="108"/>
      <c r="F235" s="113"/>
    </row>
    <row r="236" ht="15.75" customHeight="1">
      <c r="C236" s="108"/>
      <c r="F236" s="113"/>
    </row>
    <row r="237" ht="15.75" customHeight="1">
      <c r="C237" s="108"/>
      <c r="F237" s="113"/>
    </row>
    <row r="238" ht="15.75" customHeight="1">
      <c r="C238" s="108"/>
      <c r="F238" s="113"/>
    </row>
    <row r="239" ht="15.75" customHeight="1">
      <c r="C239" s="108"/>
      <c r="F239" s="113"/>
    </row>
    <row r="240" ht="15.75" customHeight="1">
      <c r="C240" s="108"/>
      <c r="F240" s="113"/>
    </row>
    <row r="241" ht="15.75" customHeight="1">
      <c r="C241" s="108"/>
      <c r="F241" s="113"/>
    </row>
    <row r="242" ht="15.75" customHeight="1">
      <c r="C242" s="108"/>
      <c r="F242" s="113"/>
    </row>
    <row r="243" ht="15.75" customHeight="1">
      <c r="C243" s="108"/>
      <c r="F243" s="113"/>
    </row>
    <row r="244" ht="15.75" customHeight="1">
      <c r="C244" s="108"/>
      <c r="F244" s="113"/>
    </row>
    <row r="245" ht="15.75" customHeight="1">
      <c r="C245" s="108"/>
      <c r="F245" s="113"/>
    </row>
    <row r="246" ht="15.75" customHeight="1">
      <c r="C246" s="108"/>
      <c r="F246" s="113"/>
    </row>
    <row r="247" ht="15.75" customHeight="1">
      <c r="C247" s="108"/>
      <c r="F247" s="113"/>
    </row>
    <row r="248" ht="15.75" customHeight="1">
      <c r="C248" s="108"/>
      <c r="F248" s="113"/>
    </row>
    <row r="249" ht="15.75" customHeight="1">
      <c r="C249" s="108"/>
      <c r="F249" s="113"/>
    </row>
    <row r="250" ht="15.75" customHeight="1">
      <c r="C250" s="108"/>
      <c r="F250" s="113"/>
    </row>
    <row r="251" ht="15.75" customHeight="1">
      <c r="C251" s="108"/>
      <c r="F251" s="113"/>
    </row>
    <row r="252" ht="15.75" customHeight="1">
      <c r="C252" s="108"/>
      <c r="F252" s="113"/>
    </row>
    <row r="253" ht="15.75" customHeight="1">
      <c r="C253" s="108"/>
      <c r="F253" s="113"/>
    </row>
    <row r="254" ht="15.75" customHeight="1">
      <c r="C254" s="108"/>
      <c r="F254" s="113"/>
    </row>
    <row r="255" ht="15.75" customHeight="1">
      <c r="C255" s="108"/>
      <c r="F255" s="113"/>
    </row>
    <row r="256" ht="15.75" customHeight="1">
      <c r="C256" s="108"/>
      <c r="F256" s="113"/>
    </row>
    <row r="257" ht="15.75" customHeight="1">
      <c r="C257" s="108"/>
      <c r="F257" s="113"/>
    </row>
    <row r="258" ht="15.75" customHeight="1">
      <c r="C258" s="108"/>
      <c r="F258" s="113"/>
    </row>
    <row r="259" ht="15.75" customHeight="1">
      <c r="C259" s="108"/>
      <c r="F259" s="113"/>
    </row>
    <row r="260" ht="15.75" customHeight="1">
      <c r="C260" s="108"/>
      <c r="F260" s="113"/>
    </row>
    <row r="261" ht="15.75" customHeight="1">
      <c r="C261" s="108"/>
      <c r="F261" s="113"/>
    </row>
    <row r="262" ht="15.75" customHeight="1">
      <c r="C262" s="108"/>
      <c r="F262" s="113"/>
    </row>
    <row r="263" ht="15.75" customHeight="1">
      <c r="C263" s="108"/>
      <c r="F263" s="113"/>
    </row>
    <row r="264" ht="15.75" customHeight="1">
      <c r="C264" s="108"/>
      <c r="F264" s="113"/>
    </row>
    <row r="265" ht="15.75" customHeight="1">
      <c r="C265" s="108"/>
      <c r="F265" s="113"/>
    </row>
    <row r="266" ht="15.75" customHeight="1">
      <c r="C266" s="108"/>
      <c r="F266" s="113"/>
    </row>
    <row r="267" ht="15.75" customHeight="1">
      <c r="C267" s="108"/>
      <c r="F267" s="113"/>
    </row>
    <row r="268" ht="15.75" customHeight="1">
      <c r="C268" s="108"/>
      <c r="F268" s="113"/>
    </row>
    <row r="269" ht="15.75" customHeight="1">
      <c r="C269" s="108"/>
      <c r="F269" s="113"/>
    </row>
    <row r="270" ht="15.75" customHeight="1">
      <c r="C270" s="108"/>
      <c r="F270" s="113"/>
    </row>
    <row r="271" ht="15.75" customHeight="1">
      <c r="C271" s="108"/>
      <c r="F271" s="113"/>
    </row>
    <row r="272" ht="15.75" customHeight="1">
      <c r="C272" s="108"/>
      <c r="F272" s="113"/>
    </row>
    <row r="273" ht="15.75" customHeight="1">
      <c r="C273" s="108"/>
      <c r="F273" s="113"/>
    </row>
    <row r="274" ht="15.75" customHeight="1">
      <c r="C274" s="108"/>
      <c r="F274" s="113"/>
    </row>
    <row r="275" ht="15.75" customHeight="1">
      <c r="C275" s="108"/>
      <c r="F275" s="113"/>
    </row>
    <row r="276" ht="15.75" customHeight="1">
      <c r="C276" s="108"/>
      <c r="F276" s="113"/>
    </row>
    <row r="277" ht="15.75" customHeight="1">
      <c r="C277" s="108"/>
      <c r="F277" s="113"/>
    </row>
    <row r="278" ht="15.75" customHeight="1">
      <c r="C278" s="108"/>
      <c r="F278" s="113"/>
    </row>
    <row r="279" ht="15.75" customHeight="1">
      <c r="C279" s="108"/>
      <c r="F279" s="113"/>
    </row>
    <row r="280" ht="15.75" customHeight="1">
      <c r="C280" s="108"/>
      <c r="F280" s="113"/>
    </row>
    <row r="281" ht="15.75" customHeight="1">
      <c r="C281" s="108"/>
      <c r="F281" s="113"/>
    </row>
    <row r="282" ht="15.75" customHeight="1">
      <c r="C282" s="108"/>
      <c r="F282" s="113"/>
    </row>
    <row r="283" ht="15.75" customHeight="1">
      <c r="C283" s="108"/>
      <c r="F283" s="113"/>
    </row>
    <row r="284" ht="15.75" customHeight="1">
      <c r="C284" s="108"/>
      <c r="F284" s="113"/>
    </row>
    <row r="285" ht="15.75" customHeight="1">
      <c r="C285" s="108"/>
      <c r="F285" s="113"/>
    </row>
    <row r="286" ht="15.75" customHeight="1">
      <c r="C286" s="108"/>
      <c r="F286" s="113"/>
    </row>
    <row r="287" ht="15.75" customHeight="1">
      <c r="C287" s="108"/>
      <c r="F287" s="113"/>
    </row>
    <row r="288" ht="15.75" customHeight="1">
      <c r="C288" s="108"/>
      <c r="F288" s="113"/>
    </row>
    <row r="289" ht="15.75" customHeight="1">
      <c r="C289" s="108"/>
      <c r="F289" s="113"/>
    </row>
    <row r="290" ht="15.75" customHeight="1">
      <c r="C290" s="108"/>
      <c r="F290" s="113"/>
    </row>
    <row r="291" ht="15.75" customHeight="1">
      <c r="C291" s="108"/>
      <c r="F291" s="113"/>
    </row>
    <row r="292" ht="15.75" customHeight="1">
      <c r="C292" s="108"/>
      <c r="F292" s="113"/>
    </row>
    <row r="293" ht="15.75" customHeight="1">
      <c r="C293" s="108"/>
      <c r="F293" s="113"/>
    </row>
    <row r="294" ht="15.75" customHeight="1">
      <c r="C294" s="108"/>
      <c r="F294" s="113"/>
    </row>
    <row r="295" ht="15.75" customHeight="1">
      <c r="C295" s="108"/>
      <c r="F295" s="113"/>
    </row>
    <row r="296" ht="15.75" customHeight="1">
      <c r="C296" s="108"/>
      <c r="F296" s="113"/>
    </row>
    <row r="297" ht="15.75" customHeight="1">
      <c r="C297" s="108"/>
      <c r="F297" s="113"/>
    </row>
    <row r="298" ht="15.75" customHeight="1">
      <c r="C298" s="108"/>
      <c r="F298" s="113"/>
    </row>
    <row r="299" ht="15.75" customHeight="1">
      <c r="C299" s="108"/>
      <c r="F299" s="113"/>
    </row>
    <row r="300" ht="15.75" customHeight="1">
      <c r="C300" s="108"/>
      <c r="F300" s="113"/>
    </row>
    <row r="301" ht="15.75" customHeight="1">
      <c r="C301" s="108"/>
      <c r="F301" s="113"/>
    </row>
    <row r="302" ht="15.75" customHeight="1">
      <c r="C302" s="108"/>
      <c r="F302" s="113"/>
    </row>
    <row r="303" ht="15.75" customHeight="1">
      <c r="C303" s="108"/>
      <c r="F303" s="113"/>
    </row>
    <row r="304" ht="15.75" customHeight="1">
      <c r="C304" s="108"/>
      <c r="F304" s="113"/>
    </row>
    <row r="305" ht="15.75" customHeight="1">
      <c r="C305" s="108"/>
      <c r="F305" s="113"/>
    </row>
    <row r="306" ht="15.75" customHeight="1">
      <c r="C306" s="108"/>
      <c r="F306" s="113"/>
    </row>
    <row r="307" ht="15.75" customHeight="1">
      <c r="C307" s="108"/>
      <c r="F307" s="113"/>
    </row>
    <row r="308" ht="15.75" customHeight="1">
      <c r="C308" s="108"/>
      <c r="F308" s="113"/>
    </row>
    <row r="309" ht="15.75" customHeight="1">
      <c r="C309" s="108"/>
      <c r="F309" s="113"/>
    </row>
    <row r="310" ht="15.75" customHeight="1">
      <c r="C310" s="108"/>
      <c r="F310" s="113"/>
    </row>
    <row r="311" ht="15.75" customHeight="1">
      <c r="C311" s="108"/>
      <c r="F311" s="113"/>
    </row>
    <row r="312" ht="15.75" customHeight="1">
      <c r="C312" s="108"/>
      <c r="F312" s="113"/>
    </row>
    <row r="313" ht="15.75" customHeight="1">
      <c r="C313" s="108"/>
      <c r="F313" s="113"/>
    </row>
    <row r="314" ht="15.75" customHeight="1">
      <c r="C314" s="108"/>
      <c r="F314" s="113"/>
    </row>
    <row r="315" ht="15.75" customHeight="1">
      <c r="C315" s="108"/>
      <c r="F315" s="113"/>
    </row>
    <row r="316" ht="15.75" customHeight="1">
      <c r="C316" s="108"/>
      <c r="F316" s="113"/>
    </row>
    <row r="317" ht="15.75" customHeight="1">
      <c r="C317" s="108"/>
      <c r="F317" s="113"/>
    </row>
    <row r="318" ht="15.75" customHeight="1">
      <c r="C318" s="108"/>
      <c r="F318" s="113"/>
    </row>
    <row r="319" ht="15.75" customHeight="1">
      <c r="C319" s="108"/>
      <c r="F319" s="113"/>
    </row>
    <row r="320" ht="15.75" customHeight="1">
      <c r="C320" s="108"/>
      <c r="F320" s="113"/>
    </row>
    <row r="321" ht="15.75" customHeight="1">
      <c r="C321" s="108"/>
      <c r="F321" s="113"/>
    </row>
    <row r="322" ht="15.75" customHeight="1">
      <c r="C322" s="108"/>
      <c r="F322" s="113"/>
    </row>
    <row r="323" ht="15.75" customHeight="1">
      <c r="C323" s="108"/>
      <c r="F323" s="113"/>
    </row>
    <row r="324" ht="15.75" customHeight="1">
      <c r="C324" s="108"/>
      <c r="F324" s="113"/>
    </row>
    <row r="325" ht="15.75" customHeight="1">
      <c r="C325" s="108"/>
      <c r="F325" s="113"/>
    </row>
    <row r="326" ht="15.75" customHeight="1">
      <c r="C326" s="108"/>
      <c r="F326" s="113"/>
    </row>
    <row r="327" ht="15.75" customHeight="1">
      <c r="C327" s="108"/>
      <c r="F327" s="113"/>
    </row>
    <row r="328" ht="15.75" customHeight="1">
      <c r="C328" s="108"/>
      <c r="F328" s="113"/>
    </row>
    <row r="329" ht="15.75" customHeight="1">
      <c r="C329" s="108"/>
      <c r="F329" s="113"/>
    </row>
    <row r="330" ht="15.75" customHeight="1">
      <c r="C330" s="108"/>
      <c r="F330" s="113"/>
    </row>
    <row r="331" ht="15.75" customHeight="1">
      <c r="C331" s="108"/>
      <c r="F331" s="113"/>
    </row>
    <row r="332" ht="15.75" customHeight="1">
      <c r="C332" s="108"/>
      <c r="F332" s="113"/>
    </row>
    <row r="333" ht="15.75" customHeight="1">
      <c r="C333" s="108"/>
      <c r="F333" s="113"/>
    </row>
    <row r="334" ht="15.75" customHeight="1">
      <c r="C334" s="108"/>
      <c r="F334" s="113"/>
    </row>
    <row r="335" ht="15.75" customHeight="1">
      <c r="C335" s="108"/>
      <c r="F335" s="113"/>
    </row>
    <row r="336" ht="15.75" customHeight="1">
      <c r="C336" s="108"/>
      <c r="F336" s="113"/>
    </row>
    <row r="337" ht="15.75" customHeight="1">
      <c r="C337" s="108"/>
      <c r="F337" s="113"/>
    </row>
    <row r="338" ht="15.75" customHeight="1">
      <c r="C338" s="108"/>
      <c r="F338" s="113"/>
    </row>
    <row r="339" ht="15.75" customHeight="1">
      <c r="C339" s="108"/>
      <c r="F339" s="113"/>
    </row>
    <row r="340" ht="15.75" customHeight="1">
      <c r="C340" s="108"/>
      <c r="F340" s="113"/>
    </row>
    <row r="341" ht="15.75" customHeight="1">
      <c r="C341" s="108"/>
      <c r="F341" s="113"/>
    </row>
    <row r="342" ht="15.75" customHeight="1">
      <c r="C342" s="108"/>
      <c r="F342" s="113"/>
    </row>
    <row r="343" ht="15.75" customHeight="1">
      <c r="C343" s="108"/>
      <c r="F343" s="113"/>
    </row>
    <row r="344" ht="15.75" customHeight="1">
      <c r="C344" s="108"/>
      <c r="F344" s="113"/>
    </row>
    <row r="345" ht="15.75" customHeight="1">
      <c r="C345" s="108"/>
      <c r="F345" s="113"/>
    </row>
    <row r="346" ht="15.75" customHeight="1">
      <c r="C346" s="108"/>
      <c r="F346" s="113"/>
    </row>
    <row r="347" ht="15.75" customHeight="1">
      <c r="C347" s="108"/>
      <c r="F347" s="113"/>
    </row>
    <row r="348" ht="15.75" customHeight="1">
      <c r="C348" s="108"/>
      <c r="F348" s="113"/>
    </row>
    <row r="349" ht="15.75" customHeight="1">
      <c r="C349" s="108"/>
      <c r="F349" s="113"/>
    </row>
    <row r="350" ht="15.75" customHeight="1">
      <c r="C350" s="108"/>
      <c r="F350" s="113"/>
    </row>
    <row r="351" ht="15.75" customHeight="1">
      <c r="C351" s="108"/>
      <c r="F351" s="113"/>
    </row>
    <row r="352" ht="15.75" customHeight="1">
      <c r="C352" s="108"/>
      <c r="F352" s="113"/>
    </row>
    <row r="353" ht="15.75" customHeight="1">
      <c r="C353" s="108"/>
      <c r="F353" s="113"/>
    </row>
    <row r="354" ht="15.75" customHeight="1">
      <c r="C354" s="108"/>
      <c r="F354" s="113"/>
    </row>
    <row r="355" ht="15.75" customHeight="1">
      <c r="C355" s="108"/>
      <c r="F355" s="113"/>
    </row>
    <row r="356" ht="15.75" customHeight="1">
      <c r="C356" s="108"/>
      <c r="F356" s="113"/>
    </row>
    <row r="357" ht="15.75" customHeight="1">
      <c r="C357" s="108"/>
      <c r="F357" s="113"/>
    </row>
    <row r="358" ht="15.75" customHeight="1">
      <c r="C358" s="108"/>
      <c r="F358" s="113"/>
    </row>
    <row r="359" ht="15.75" customHeight="1">
      <c r="C359" s="108"/>
      <c r="F359" s="113"/>
    </row>
    <row r="360" ht="15.75" customHeight="1">
      <c r="C360" s="108"/>
      <c r="F360" s="113"/>
    </row>
    <row r="361" ht="15.75" customHeight="1">
      <c r="C361" s="108"/>
      <c r="F361" s="113"/>
    </row>
    <row r="362" ht="15.75" customHeight="1">
      <c r="C362" s="108"/>
      <c r="F362" s="113"/>
    </row>
    <row r="363" ht="15.75" customHeight="1">
      <c r="C363" s="108"/>
      <c r="F363" s="113"/>
    </row>
    <row r="364" ht="15.75" customHeight="1">
      <c r="C364" s="108"/>
      <c r="F364" s="113"/>
    </row>
    <row r="365" ht="15.75" customHeight="1">
      <c r="C365" s="108"/>
      <c r="F365" s="113"/>
    </row>
    <row r="366" ht="15.75" customHeight="1">
      <c r="C366" s="108"/>
      <c r="F366" s="113"/>
    </row>
    <row r="367" ht="15.75" customHeight="1">
      <c r="C367" s="108"/>
      <c r="F367" s="113"/>
    </row>
    <row r="368" ht="15.75" customHeight="1">
      <c r="C368" s="108"/>
      <c r="F368" s="113"/>
    </row>
    <row r="369" ht="15.75" customHeight="1">
      <c r="C369" s="108"/>
      <c r="F369" s="113"/>
    </row>
    <row r="370" ht="15.75" customHeight="1">
      <c r="C370" s="108"/>
      <c r="F370" s="113"/>
    </row>
    <row r="371" ht="15.75" customHeight="1">
      <c r="C371" s="108"/>
      <c r="F371" s="113"/>
    </row>
    <row r="372" ht="15.75" customHeight="1">
      <c r="C372" s="108"/>
      <c r="F372" s="113"/>
    </row>
    <row r="373" ht="15.75" customHeight="1">
      <c r="C373" s="108"/>
      <c r="F373" s="113"/>
    </row>
    <row r="374" ht="15.75" customHeight="1">
      <c r="C374" s="108"/>
      <c r="F374" s="113"/>
    </row>
    <row r="375" ht="15.75" customHeight="1">
      <c r="C375" s="108"/>
      <c r="F375" s="113"/>
    </row>
    <row r="376" ht="15.75" customHeight="1">
      <c r="C376" s="108"/>
      <c r="F376" s="113"/>
    </row>
    <row r="377" ht="15.75" customHeight="1">
      <c r="C377" s="108"/>
      <c r="F377" s="113"/>
    </row>
    <row r="378" ht="15.75" customHeight="1">
      <c r="C378" s="108"/>
      <c r="F378" s="113"/>
    </row>
    <row r="379" ht="15.75" customHeight="1">
      <c r="C379" s="108"/>
      <c r="F379" s="113"/>
    </row>
    <row r="380" ht="15.75" customHeight="1">
      <c r="C380" s="108"/>
      <c r="F380" s="113"/>
    </row>
    <row r="381" ht="15.75" customHeight="1">
      <c r="C381" s="108"/>
      <c r="F381" s="113"/>
    </row>
    <row r="382" ht="15.75" customHeight="1">
      <c r="C382" s="108"/>
      <c r="F382" s="113"/>
    </row>
    <row r="383" ht="15.75" customHeight="1">
      <c r="C383" s="108"/>
      <c r="F383" s="113"/>
    </row>
    <row r="384" ht="15.75" customHeight="1">
      <c r="C384" s="108"/>
      <c r="F384" s="113"/>
    </row>
    <row r="385" ht="15.75" customHeight="1">
      <c r="C385" s="108"/>
      <c r="F385" s="113"/>
    </row>
    <row r="386" ht="15.75" customHeight="1">
      <c r="C386" s="108"/>
      <c r="F386" s="113"/>
    </row>
    <row r="387" ht="15.75" customHeight="1">
      <c r="C387" s="108"/>
      <c r="F387" s="113"/>
    </row>
    <row r="388" ht="15.75" customHeight="1">
      <c r="C388" s="108"/>
      <c r="F388" s="113"/>
    </row>
    <row r="389" ht="15.75" customHeight="1">
      <c r="C389" s="108"/>
      <c r="F389" s="113"/>
    </row>
    <row r="390" ht="15.75" customHeight="1">
      <c r="C390" s="108"/>
      <c r="F390" s="113"/>
    </row>
    <row r="391" ht="15.75" customHeight="1">
      <c r="C391" s="108"/>
      <c r="F391" s="113"/>
    </row>
    <row r="392" ht="15.75" customHeight="1">
      <c r="C392" s="108"/>
      <c r="F392" s="113"/>
    </row>
    <row r="393" ht="15.75" customHeight="1">
      <c r="C393" s="108"/>
      <c r="F393" s="113"/>
    </row>
    <row r="394" ht="15.75" customHeight="1">
      <c r="C394" s="108"/>
      <c r="F394" s="113"/>
    </row>
    <row r="395" ht="15.75" customHeight="1">
      <c r="C395" s="108"/>
      <c r="F395" s="113"/>
    </row>
    <row r="396" ht="15.75" customHeight="1">
      <c r="C396" s="108"/>
      <c r="F396" s="113"/>
    </row>
    <row r="397" ht="15.75" customHeight="1">
      <c r="C397" s="108"/>
      <c r="F397" s="113"/>
    </row>
    <row r="398" ht="15.75" customHeight="1">
      <c r="C398" s="108"/>
      <c r="F398" s="113"/>
    </row>
    <row r="399" ht="15.75" customHeight="1">
      <c r="C399" s="108"/>
      <c r="F399" s="113"/>
    </row>
    <row r="400" ht="15.75" customHeight="1">
      <c r="C400" s="108"/>
      <c r="F400" s="113"/>
    </row>
    <row r="401" ht="15.75" customHeight="1">
      <c r="C401" s="108"/>
      <c r="F401" s="113"/>
    </row>
    <row r="402" ht="15.75" customHeight="1">
      <c r="C402" s="108"/>
      <c r="F402" s="113"/>
    </row>
    <row r="403" ht="15.75" customHeight="1">
      <c r="C403" s="108"/>
      <c r="F403" s="113"/>
    </row>
    <row r="404" ht="15.75" customHeight="1">
      <c r="C404" s="108"/>
      <c r="F404" s="113"/>
    </row>
    <row r="405" ht="15.75" customHeight="1">
      <c r="C405" s="108"/>
      <c r="F405" s="113"/>
    </row>
    <row r="406" ht="15.75" customHeight="1">
      <c r="C406" s="108"/>
      <c r="F406" s="113"/>
    </row>
    <row r="407" ht="15.75" customHeight="1">
      <c r="C407" s="108"/>
      <c r="F407" s="113"/>
    </row>
    <row r="408" ht="15.75" customHeight="1">
      <c r="C408" s="108"/>
      <c r="F408" s="113"/>
    </row>
    <row r="409" ht="15.75" customHeight="1">
      <c r="C409" s="108"/>
      <c r="F409" s="113"/>
    </row>
    <row r="410" ht="15.75" customHeight="1">
      <c r="C410" s="108"/>
      <c r="F410" s="113"/>
    </row>
    <row r="411" ht="15.75" customHeight="1">
      <c r="C411" s="108"/>
      <c r="F411" s="113"/>
    </row>
    <row r="412" ht="15.75" customHeight="1">
      <c r="C412" s="108"/>
      <c r="F412" s="113"/>
    </row>
    <row r="413" ht="15.75" customHeight="1">
      <c r="C413" s="108"/>
      <c r="F413" s="113"/>
    </row>
    <row r="414" ht="15.75" customHeight="1">
      <c r="C414" s="108"/>
      <c r="F414" s="113"/>
    </row>
    <row r="415" ht="15.75" customHeight="1">
      <c r="C415" s="108"/>
      <c r="F415" s="113"/>
    </row>
    <row r="416" ht="15.75" customHeight="1">
      <c r="C416" s="108"/>
      <c r="F416" s="113"/>
    </row>
    <row r="417" ht="15.75" customHeight="1">
      <c r="C417" s="108"/>
      <c r="F417" s="113"/>
    </row>
    <row r="418" ht="15.75" customHeight="1">
      <c r="C418" s="108"/>
      <c r="F418" s="113"/>
    </row>
    <row r="419" ht="15.75" customHeight="1">
      <c r="C419" s="108"/>
      <c r="F419" s="113"/>
    </row>
    <row r="420" ht="15.75" customHeight="1">
      <c r="C420" s="108"/>
      <c r="F420" s="113"/>
    </row>
    <row r="421" ht="15.75" customHeight="1">
      <c r="C421" s="108"/>
      <c r="F421" s="113"/>
    </row>
    <row r="422" ht="15.75" customHeight="1">
      <c r="C422" s="108"/>
      <c r="F422" s="113"/>
    </row>
    <row r="423" ht="15.75" customHeight="1">
      <c r="C423" s="108"/>
      <c r="F423" s="113"/>
    </row>
    <row r="424" ht="15.75" customHeight="1">
      <c r="C424" s="108"/>
      <c r="F424" s="113"/>
    </row>
    <row r="425" ht="15.75" customHeight="1">
      <c r="C425" s="108"/>
      <c r="F425" s="113"/>
    </row>
    <row r="426" ht="15.75" customHeight="1">
      <c r="C426" s="108"/>
      <c r="F426" s="113"/>
    </row>
    <row r="427" ht="15.75" customHeight="1">
      <c r="C427" s="108"/>
      <c r="F427" s="113"/>
    </row>
    <row r="428" ht="15.75" customHeight="1">
      <c r="C428" s="108"/>
      <c r="F428" s="113"/>
    </row>
    <row r="429" ht="15.75" customHeight="1">
      <c r="C429" s="108"/>
      <c r="F429" s="113"/>
    </row>
    <row r="430" ht="15.75" customHeight="1">
      <c r="C430" s="108"/>
      <c r="F430" s="113"/>
    </row>
    <row r="431" ht="15.75" customHeight="1">
      <c r="C431" s="108"/>
      <c r="F431" s="113"/>
    </row>
    <row r="432" ht="15.75" customHeight="1">
      <c r="C432" s="108"/>
      <c r="F432" s="113"/>
    </row>
    <row r="433" ht="15.75" customHeight="1">
      <c r="C433" s="108"/>
      <c r="F433" s="113"/>
    </row>
    <row r="434" ht="15.75" customHeight="1">
      <c r="C434" s="108"/>
      <c r="F434" s="113"/>
    </row>
    <row r="435" ht="15.75" customHeight="1">
      <c r="C435" s="108"/>
      <c r="F435" s="113"/>
    </row>
    <row r="436" ht="15.75" customHeight="1">
      <c r="C436" s="108"/>
      <c r="F436" s="113"/>
    </row>
    <row r="437" ht="15.75" customHeight="1">
      <c r="C437" s="108"/>
      <c r="F437" s="113"/>
    </row>
    <row r="438" ht="15.75" customHeight="1">
      <c r="C438" s="108"/>
      <c r="F438" s="113"/>
    </row>
    <row r="439" ht="15.75" customHeight="1">
      <c r="C439" s="108"/>
      <c r="F439" s="113"/>
    </row>
    <row r="440" ht="15.75" customHeight="1">
      <c r="C440" s="108"/>
      <c r="F440" s="113"/>
    </row>
    <row r="441" ht="15.75" customHeight="1">
      <c r="C441" s="108"/>
      <c r="F441" s="113"/>
    </row>
    <row r="442" ht="15.75" customHeight="1">
      <c r="C442" s="108"/>
      <c r="F442" s="113"/>
    </row>
    <row r="443" ht="15.75" customHeight="1">
      <c r="C443" s="108"/>
      <c r="F443" s="113"/>
    </row>
    <row r="444" ht="15.75" customHeight="1">
      <c r="C444" s="108"/>
      <c r="F444" s="113"/>
    </row>
    <row r="445" ht="15.75" customHeight="1">
      <c r="C445" s="108"/>
      <c r="F445" s="113"/>
    </row>
    <row r="446" ht="15.75" customHeight="1">
      <c r="C446" s="108"/>
      <c r="F446" s="113"/>
    </row>
    <row r="447" ht="15.75" customHeight="1">
      <c r="C447" s="108"/>
      <c r="F447" s="113"/>
    </row>
    <row r="448" ht="15.75" customHeight="1">
      <c r="C448" s="108"/>
      <c r="F448" s="113"/>
    </row>
    <row r="449" ht="15.75" customHeight="1">
      <c r="C449" s="108"/>
      <c r="F449" s="113"/>
    </row>
    <row r="450" ht="15.75" customHeight="1">
      <c r="C450" s="108"/>
      <c r="F450" s="113"/>
    </row>
    <row r="451" ht="15.75" customHeight="1">
      <c r="C451" s="108"/>
      <c r="F451" s="113"/>
    </row>
    <row r="452" ht="15.75" customHeight="1">
      <c r="C452" s="108"/>
      <c r="F452" s="113"/>
    </row>
    <row r="453" ht="15.75" customHeight="1">
      <c r="C453" s="108"/>
      <c r="F453" s="113"/>
    </row>
    <row r="454" ht="15.75" customHeight="1">
      <c r="C454" s="108"/>
      <c r="F454" s="113"/>
    </row>
    <row r="455" ht="15.75" customHeight="1">
      <c r="C455" s="108"/>
      <c r="F455" s="113"/>
    </row>
    <row r="456" ht="15.75" customHeight="1">
      <c r="C456" s="108"/>
      <c r="F456" s="113"/>
    </row>
    <row r="457" ht="15.75" customHeight="1">
      <c r="C457" s="108"/>
      <c r="F457" s="113"/>
    </row>
    <row r="458" ht="15.75" customHeight="1">
      <c r="C458" s="108"/>
      <c r="F458" s="113"/>
    </row>
    <row r="459" ht="15.75" customHeight="1">
      <c r="C459" s="108"/>
      <c r="F459" s="113"/>
    </row>
    <row r="460" ht="15.75" customHeight="1">
      <c r="C460" s="108"/>
      <c r="F460" s="113"/>
    </row>
    <row r="461" ht="15.75" customHeight="1">
      <c r="C461" s="108"/>
      <c r="F461" s="113"/>
    </row>
    <row r="462" ht="15.75" customHeight="1">
      <c r="C462" s="108"/>
      <c r="F462" s="113"/>
    </row>
    <row r="463" ht="15.75" customHeight="1">
      <c r="C463" s="108"/>
      <c r="F463" s="113"/>
    </row>
    <row r="464" ht="15.75" customHeight="1">
      <c r="C464" s="108"/>
      <c r="F464" s="113"/>
    </row>
    <row r="465" ht="15.75" customHeight="1">
      <c r="C465" s="108"/>
      <c r="F465" s="113"/>
    </row>
    <row r="466" ht="15.75" customHeight="1">
      <c r="C466" s="108"/>
      <c r="F466" s="113"/>
    </row>
    <row r="467" ht="15.75" customHeight="1">
      <c r="C467" s="108"/>
      <c r="F467" s="113"/>
    </row>
    <row r="468" ht="15.75" customHeight="1">
      <c r="C468" s="108"/>
      <c r="F468" s="113"/>
    </row>
    <row r="469" ht="15.75" customHeight="1">
      <c r="C469" s="108"/>
      <c r="F469" s="113"/>
    </row>
    <row r="470" ht="15.75" customHeight="1">
      <c r="C470" s="108"/>
      <c r="F470" s="113"/>
    </row>
    <row r="471" ht="15.75" customHeight="1">
      <c r="C471" s="108"/>
      <c r="F471" s="113"/>
    </row>
    <row r="472" ht="15.75" customHeight="1">
      <c r="C472" s="108"/>
      <c r="F472" s="113"/>
    </row>
    <row r="473" ht="15.75" customHeight="1">
      <c r="C473" s="108"/>
      <c r="F473" s="113"/>
    </row>
    <row r="474" ht="15.75" customHeight="1">
      <c r="C474" s="108"/>
      <c r="F474" s="113"/>
    </row>
    <row r="475" ht="15.75" customHeight="1">
      <c r="C475" s="108"/>
      <c r="F475" s="113"/>
    </row>
    <row r="476" ht="15.75" customHeight="1">
      <c r="C476" s="108"/>
      <c r="F476" s="113"/>
    </row>
    <row r="477" ht="15.75" customHeight="1">
      <c r="C477" s="108"/>
      <c r="F477" s="113"/>
    </row>
    <row r="478" ht="15.75" customHeight="1">
      <c r="C478" s="108"/>
      <c r="F478" s="113"/>
    </row>
    <row r="479" ht="15.75" customHeight="1">
      <c r="C479" s="108"/>
      <c r="F479" s="113"/>
    </row>
    <row r="480" ht="15.75" customHeight="1">
      <c r="C480" s="108"/>
      <c r="F480" s="113"/>
    </row>
    <row r="481" ht="15.75" customHeight="1">
      <c r="C481" s="108"/>
      <c r="F481" s="113"/>
    </row>
    <row r="482" ht="15.75" customHeight="1">
      <c r="C482" s="108"/>
      <c r="F482" s="113"/>
    </row>
    <row r="483" ht="15.75" customHeight="1">
      <c r="C483" s="108"/>
      <c r="F483" s="113"/>
    </row>
    <row r="484" ht="15.75" customHeight="1">
      <c r="C484" s="108"/>
      <c r="F484" s="113"/>
    </row>
    <row r="485" ht="15.75" customHeight="1">
      <c r="C485" s="108"/>
      <c r="F485" s="113"/>
    </row>
    <row r="486" ht="15.75" customHeight="1">
      <c r="C486" s="108"/>
      <c r="F486" s="113"/>
    </row>
    <row r="487" ht="15.75" customHeight="1">
      <c r="C487" s="108"/>
      <c r="F487" s="113"/>
    </row>
    <row r="488" ht="15.75" customHeight="1">
      <c r="C488" s="108"/>
      <c r="F488" s="113"/>
    </row>
    <row r="489" ht="15.75" customHeight="1">
      <c r="C489" s="108"/>
      <c r="F489" s="113"/>
    </row>
    <row r="490" ht="15.75" customHeight="1">
      <c r="C490" s="108"/>
      <c r="F490" s="113"/>
    </row>
    <row r="491" ht="15.75" customHeight="1">
      <c r="C491" s="108"/>
      <c r="F491" s="113"/>
    </row>
    <row r="492" ht="15.75" customHeight="1">
      <c r="C492" s="108"/>
      <c r="F492" s="113"/>
    </row>
    <row r="493" ht="15.75" customHeight="1">
      <c r="C493" s="108"/>
      <c r="F493" s="113"/>
    </row>
    <row r="494" ht="15.75" customHeight="1">
      <c r="C494" s="108"/>
      <c r="F494" s="113"/>
    </row>
    <row r="495" ht="15.75" customHeight="1">
      <c r="C495" s="108"/>
      <c r="F495" s="113"/>
    </row>
    <row r="496" ht="15.75" customHeight="1">
      <c r="C496" s="108"/>
      <c r="F496" s="113"/>
    </row>
    <row r="497" ht="15.75" customHeight="1">
      <c r="C497" s="108"/>
      <c r="F497" s="113"/>
    </row>
    <row r="498" ht="15.75" customHeight="1">
      <c r="C498" s="108"/>
      <c r="F498" s="113"/>
    </row>
    <row r="499" ht="15.75" customHeight="1">
      <c r="C499" s="108"/>
      <c r="F499" s="113"/>
    </row>
    <row r="500" ht="15.75" customHeight="1">
      <c r="C500" s="108"/>
      <c r="F500" s="113"/>
    </row>
    <row r="501" ht="15.75" customHeight="1">
      <c r="C501" s="108"/>
      <c r="F501" s="113"/>
    </row>
    <row r="502" ht="15.75" customHeight="1">
      <c r="C502" s="108"/>
      <c r="F502" s="113"/>
    </row>
    <row r="503" ht="15.75" customHeight="1">
      <c r="C503" s="108"/>
      <c r="F503" s="113"/>
    </row>
    <row r="504" ht="15.75" customHeight="1">
      <c r="C504" s="108"/>
      <c r="F504" s="113"/>
    </row>
    <row r="505" ht="15.75" customHeight="1">
      <c r="C505" s="108"/>
      <c r="F505" s="113"/>
    </row>
    <row r="506" ht="15.75" customHeight="1">
      <c r="C506" s="108"/>
      <c r="F506" s="113"/>
    </row>
    <row r="507" ht="15.75" customHeight="1">
      <c r="C507" s="108"/>
      <c r="F507" s="113"/>
    </row>
    <row r="508" ht="15.75" customHeight="1">
      <c r="C508" s="108"/>
      <c r="F508" s="113"/>
    </row>
    <row r="509" ht="15.75" customHeight="1">
      <c r="C509" s="108"/>
      <c r="F509" s="113"/>
    </row>
    <row r="510" ht="15.75" customHeight="1">
      <c r="C510" s="108"/>
      <c r="F510" s="113"/>
    </row>
    <row r="511" ht="15.75" customHeight="1">
      <c r="C511" s="108"/>
      <c r="F511" s="113"/>
    </row>
    <row r="512" ht="15.75" customHeight="1">
      <c r="C512" s="108"/>
      <c r="F512" s="113"/>
    </row>
    <row r="513" ht="15.75" customHeight="1">
      <c r="C513" s="108"/>
      <c r="F513" s="113"/>
    </row>
    <row r="514" ht="15.75" customHeight="1">
      <c r="C514" s="108"/>
      <c r="F514" s="113"/>
    </row>
    <row r="515" ht="15.75" customHeight="1">
      <c r="C515" s="108"/>
      <c r="F515" s="113"/>
    </row>
    <row r="516" ht="15.75" customHeight="1">
      <c r="C516" s="108"/>
      <c r="F516" s="113"/>
    </row>
    <row r="517" ht="15.75" customHeight="1">
      <c r="C517" s="108"/>
      <c r="F517" s="113"/>
    </row>
    <row r="518" ht="15.75" customHeight="1">
      <c r="C518" s="108"/>
      <c r="F518" s="113"/>
    </row>
    <row r="519" ht="15.75" customHeight="1">
      <c r="C519" s="108"/>
      <c r="F519" s="113"/>
    </row>
    <row r="520" ht="15.75" customHeight="1">
      <c r="C520" s="108"/>
      <c r="F520" s="113"/>
    </row>
    <row r="521" ht="15.75" customHeight="1">
      <c r="C521" s="108"/>
      <c r="F521" s="113"/>
    </row>
    <row r="522" ht="15.75" customHeight="1">
      <c r="C522" s="108"/>
      <c r="F522" s="113"/>
    </row>
    <row r="523" ht="15.75" customHeight="1">
      <c r="C523" s="108"/>
      <c r="F523" s="113"/>
    </row>
    <row r="524" ht="15.75" customHeight="1">
      <c r="C524" s="108"/>
      <c r="F524" s="113"/>
    </row>
    <row r="525" ht="15.75" customHeight="1">
      <c r="C525" s="108"/>
      <c r="F525" s="113"/>
    </row>
    <row r="526" ht="15.75" customHeight="1">
      <c r="C526" s="108"/>
      <c r="F526" s="113"/>
    </row>
    <row r="527" ht="15.75" customHeight="1">
      <c r="C527" s="108"/>
      <c r="F527" s="113"/>
    </row>
    <row r="528" ht="15.75" customHeight="1">
      <c r="C528" s="108"/>
      <c r="F528" s="113"/>
    </row>
    <row r="529" ht="15.75" customHeight="1">
      <c r="C529" s="108"/>
      <c r="F529" s="113"/>
    </row>
    <row r="530" ht="15.75" customHeight="1">
      <c r="C530" s="108"/>
      <c r="F530" s="113"/>
    </row>
    <row r="531" ht="15.75" customHeight="1">
      <c r="C531" s="108"/>
      <c r="F531" s="113"/>
    </row>
    <row r="532" ht="15.75" customHeight="1">
      <c r="C532" s="108"/>
      <c r="F532" s="113"/>
    </row>
    <row r="533" ht="15.75" customHeight="1">
      <c r="C533" s="108"/>
      <c r="F533" s="113"/>
    </row>
    <row r="534" ht="15.75" customHeight="1">
      <c r="C534" s="108"/>
      <c r="F534" s="113"/>
    </row>
    <row r="535" ht="15.75" customHeight="1">
      <c r="C535" s="108"/>
      <c r="F535" s="113"/>
    </row>
    <row r="536" ht="15.75" customHeight="1">
      <c r="C536" s="108"/>
      <c r="F536" s="113"/>
    </row>
    <row r="537" ht="15.75" customHeight="1">
      <c r="C537" s="108"/>
      <c r="F537" s="113"/>
    </row>
    <row r="538" ht="15.75" customHeight="1">
      <c r="C538" s="108"/>
      <c r="F538" s="113"/>
    </row>
    <row r="539" ht="15.75" customHeight="1">
      <c r="C539" s="108"/>
      <c r="F539" s="113"/>
    </row>
    <row r="540" ht="15.75" customHeight="1">
      <c r="C540" s="108"/>
      <c r="F540" s="113"/>
    </row>
    <row r="541" ht="15.75" customHeight="1">
      <c r="C541" s="108"/>
      <c r="F541" s="113"/>
    </row>
    <row r="542" ht="15.75" customHeight="1">
      <c r="C542" s="108"/>
      <c r="F542" s="113"/>
    </row>
    <row r="543" ht="15.75" customHeight="1">
      <c r="C543" s="108"/>
      <c r="F543" s="113"/>
    </row>
    <row r="544" ht="15.75" customHeight="1">
      <c r="C544" s="108"/>
      <c r="F544" s="113"/>
    </row>
    <row r="545" ht="15.75" customHeight="1">
      <c r="C545" s="108"/>
      <c r="F545" s="113"/>
    </row>
    <row r="546" ht="15.75" customHeight="1">
      <c r="C546" s="108"/>
      <c r="F546" s="113"/>
    </row>
    <row r="547" ht="15.75" customHeight="1">
      <c r="C547" s="108"/>
      <c r="F547" s="113"/>
    </row>
    <row r="548" ht="15.75" customHeight="1">
      <c r="C548" s="108"/>
      <c r="F548" s="113"/>
    </row>
    <row r="549" ht="15.75" customHeight="1">
      <c r="C549" s="108"/>
      <c r="F549" s="113"/>
    </row>
    <row r="550" ht="15.75" customHeight="1">
      <c r="C550" s="108"/>
      <c r="F550" s="113"/>
    </row>
    <row r="551" ht="15.75" customHeight="1">
      <c r="C551" s="108"/>
      <c r="F551" s="113"/>
    </row>
    <row r="552" ht="15.75" customHeight="1">
      <c r="C552" s="108"/>
      <c r="F552" s="113"/>
    </row>
    <row r="553" ht="15.75" customHeight="1">
      <c r="C553" s="108"/>
      <c r="F553" s="113"/>
    </row>
    <row r="554" ht="15.75" customHeight="1">
      <c r="C554" s="108"/>
      <c r="F554" s="113"/>
    </row>
    <row r="555" ht="15.75" customHeight="1">
      <c r="C555" s="108"/>
      <c r="F555" s="113"/>
    </row>
    <row r="556" ht="15.75" customHeight="1">
      <c r="C556" s="108"/>
      <c r="F556" s="113"/>
    </row>
    <row r="557" ht="15.75" customHeight="1">
      <c r="C557" s="108"/>
      <c r="F557" s="113"/>
    </row>
    <row r="558" ht="15.75" customHeight="1">
      <c r="C558" s="108"/>
      <c r="F558" s="113"/>
    </row>
    <row r="559" ht="15.75" customHeight="1">
      <c r="C559" s="108"/>
      <c r="F559" s="113"/>
    </row>
    <row r="560" ht="15.75" customHeight="1">
      <c r="C560" s="108"/>
      <c r="F560" s="113"/>
    </row>
    <row r="561" ht="15.75" customHeight="1">
      <c r="C561" s="108"/>
      <c r="F561" s="113"/>
    </row>
    <row r="562" ht="15.75" customHeight="1">
      <c r="C562" s="108"/>
      <c r="F562" s="113"/>
    </row>
    <row r="563" ht="15.75" customHeight="1">
      <c r="C563" s="108"/>
      <c r="F563" s="113"/>
    </row>
    <row r="564" ht="15.75" customHeight="1">
      <c r="C564" s="108"/>
      <c r="F564" s="113"/>
    </row>
    <row r="565" ht="15.75" customHeight="1">
      <c r="C565" s="108"/>
      <c r="F565" s="113"/>
    </row>
    <row r="566" ht="15.75" customHeight="1">
      <c r="C566" s="108"/>
      <c r="F566" s="113"/>
    </row>
    <row r="567" ht="15.75" customHeight="1">
      <c r="C567" s="108"/>
      <c r="F567" s="113"/>
    </row>
    <row r="568" ht="15.75" customHeight="1">
      <c r="C568" s="108"/>
      <c r="F568" s="113"/>
    </row>
    <row r="569" ht="15.75" customHeight="1">
      <c r="C569" s="108"/>
      <c r="F569" s="113"/>
    </row>
    <row r="570" ht="15.75" customHeight="1">
      <c r="C570" s="108"/>
      <c r="F570" s="113"/>
    </row>
    <row r="571" ht="15.75" customHeight="1">
      <c r="C571" s="108"/>
      <c r="F571" s="113"/>
    </row>
    <row r="572" ht="15.75" customHeight="1">
      <c r="C572" s="108"/>
      <c r="F572" s="113"/>
    </row>
    <row r="573" ht="15.75" customHeight="1">
      <c r="C573" s="108"/>
      <c r="F573" s="113"/>
    </row>
    <row r="574" ht="15.75" customHeight="1">
      <c r="C574" s="108"/>
      <c r="F574" s="113"/>
    </row>
    <row r="575" ht="15.75" customHeight="1">
      <c r="C575" s="108"/>
      <c r="F575" s="113"/>
    </row>
    <row r="576" ht="15.75" customHeight="1">
      <c r="C576" s="108"/>
      <c r="F576" s="113"/>
    </row>
    <row r="577" ht="15.75" customHeight="1">
      <c r="C577" s="108"/>
      <c r="F577" s="113"/>
    </row>
    <row r="578" ht="15.75" customHeight="1">
      <c r="C578" s="108"/>
      <c r="F578" s="113"/>
    </row>
    <row r="579" ht="15.75" customHeight="1">
      <c r="C579" s="108"/>
      <c r="F579" s="113"/>
    </row>
    <row r="580" ht="15.75" customHeight="1">
      <c r="C580" s="108"/>
      <c r="F580" s="113"/>
    </row>
    <row r="581" ht="15.75" customHeight="1">
      <c r="C581" s="108"/>
      <c r="F581" s="113"/>
    </row>
    <row r="582" ht="15.75" customHeight="1">
      <c r="C582" s="108"/>
      <c r="F582" s="113"/>
    </row>
    <row r="583" ht="15.75" customHeight="1">
      <c r="C583" s="108"/>
      <c r="F583" s="113"/>
    </row>
    <row r="584" ht="15.75" customHeight="1">
      <c r="C584" s="108"/>
      <c r="F584" s="113"/>
    </row>
    <row r="585" ht="15.75" customHeight="1">
      <c r="C585" s="108"/>
      <c r="F585" s="113"/>
    </row>
    <row r="586" ht="15.75" customHeight="1">
      <c r="C586" s="108"/>
      <c r="F586" s="113"/>
    </row>
    <row r="587" ht="15.75" customHeight="1">
      <c r="C587" s="108"/>
      <c r="F587" s="113"/>
    </row>
    <row r="588" ht="15.75" customHeight="1">
      <c r="C588" s="108"/>
      <c r="F588" s="113"/>
    </row>
    <row r="589" ht="15.75" customHeight="1">
      <c r="C589" s="108"/>
      <c r="F589" s="113"/>
    </row>
    <row r="590" ht="15.75" customHeight="1">
      <c r="C590" s="108"/>
      <c r="F590" s="113"/>
    </row>
    <row r="591" ht="15.75" customHeight="1">
      <c r="C591" s="108"/>
      <c r="F591" s="113"/>
    </row>
    <row r="592" ht="15.75" customHeight="1">
      <c r="C592" s="108"/>
      <c r="F592" s="113"/>
    </row>
    <row r="593" ht="15.75" customHeight="1">
      <c r="C593" s="108"/>
      <c r="F593" s="113"/>
    </row>
    <row r="594" ht="15.75" customHeight="1">
      <c r="C594" s="108"/>
      <c r="F594" s="113"/>
    </row>
    <row r="595" ht="15.75" customHeight="1">
      <c r="C595" s="108"/>
      <c r="F595" s="113"/>
    </row>
    <row r="596" ht="15.75" customHeight="1">
      <c r="C596" s="108"/>
      <c r="F596" s="113"/>
    </row>
    <row r="597" ht="15.75" customHeight="1">
      <c r="C597" s="108"/>
      <c r="F597" s="113"/>
    </row>
    <row r="598" ht="15.75" customHeight="1">
      <c r="C598" s="108"/>
      <c r="F598" s="113"/>
    </row>
    <row r="599" ht="15.75" customHeight="1">
      <c r="C599" s="108"/>
      <c r="F599" s="113"/>
    </row>
    <row r="600" ht="15.75" customHeight="1">
      <c r="C600" s="108"/>
      <c r="F600" s="113"/>
    </row>
    <row r="601" ht="15.75" customHeight="1">
      <c r="C601" s="108"/>
      <c r="F601" s="113"/>
    </row>
    <row r="602" ht="15.75" customHeight="1">
      <c r="C602" s="108"/>
      <c r="F602" s="113"/>
    </row>
    <row r="603" ht="15.75" customHeight="1">
      <c r="C603" s="108"/>
      <c r="F603" s="113"/>
    </row>
    <row r="604" ht="15.75" customHeight="1">
      <c r="C604" s="108"/>
      <c r="F604" s="113"/>
    </row>
    <row r="605" ht="15.75" customHeight="1">
      <c r="C605" s="108"/>
      <c r="F605" s="113"/>
    </row>
    <row r="606" ht="15.75" customHeight="1">
      <c r="C606" s="108"/>
      <c r="F606" s="113"/>
    </row>
    <row r="607" ht="15.75" customHeight="1">
      <c r="C607" s="108"/>
      <c r="F607" s="113"/>
    </row>
    <row r="608" ht="15.75" customHeight="1">
      <c r="C608" s="108"/>
      <c r="F608" s="113"/>
    </row>
    <row r="609" ht="15.75" customHeight="1">
      <c r="C609" s="108"/>
      <c r="F609" s="113"/>
    </row>
    <row r="610" ht="15.75" customHeight="1">
      <c r="C610" s="108"/>
      <c r="F610" s="113"/>
    </row>
    <row r="611" ht="15.75" customHeight="1">
      <c r="C611" s="108"/>
      <c r="F611" s="113"/>
    </row>
    <row r="612" ht="15.75" customHeight="1">
      <c r="C612" s="108"/>
      <c r="F612" s="113"/>
    </row>
    <row r="613" ht="15.75" customHeight="1">
      <c r="C613" s="108"/>
      <c r="F613" s="113"/>
    </row>
    <row r="614" ht="15.75" customHeight="1">
      <c r="C614" s="108"/>
      <c r="F614" s="113"/>
    </row>
    <row r="615" ht="15.75" customHeight="1">
      <c r="C615" s="108"/>
      <c r="F615" s="113"/>
    </row>
    <row r="616" ht="15.75" customHeight="1">
      <c r="C616" s="108"/>
      <c r="F616" s="113"/>
    </row>
    <row r="617" ht="15.75" customHeight="1">
      <c r="C617" s="108"/>
      <c r="F617" s="113"/>
    </row>
    <row r="618" ht="15.75" customHeight="1">
      <c r="C618" s="108"/>
      <c r="F618" s="113"/>
    </row>
    <row r="619" ht="15.75" customHeight="1">
      <c r="C619" s="108"/>
      <c r="F619" s="113"/>
    </row>
    <row r="620" ht="15.75" customHeight="1">
      <c r="C620" s="108"/>
      <c r="F620" s="113"/>
    </row>
    <row r="621" ht="15.75" customHeight="1">
      <c r="C621" s="108"/>
      <c r="F621" s="113"/>
    </row>
    <row r="622" ht="15.75" customHeight="1">
      <c r="C622" s="108"/>
      <c r="F622" s="113"/>
    </row>
    <row r="623" ht="15.75" customHeight="1">
      <c r="C623" s="108"/>
      <c r="F623" s="113"/>
    </row>
    <row r="624" ht="15.75" customHeight="1">
      <c r="C624" s="108"/>
      <c r="F624" s="113"/>
    </row>
    <row r="625" ht="15.75" customHeight="1">
      <c r="C625" s="108"/>
      <c r="F625" s="113"/>
    </row>
    <row r="626" ht="15.75" customHeight="1">
      <c r="C626" s="108"/>
      <c r="F626" s="113"/>
    </row>
    <row r="627" ht="15.75" customHeight="1">
      <c r="C627" s="108"/>
      <c r="F627" s="113"/>
    </row>
    <row r="628" ht="15.75" customHeight="1">
      <c r="C628" s="108"/>
      <c r="F628" s="113"/>
    </row>
    <row r="629" ht="15.75" customHeight="1">
      <c r="C629" s="108"/>
      <c r="F629" s="113"/>
    </row>
    <row r="630" ht="15.75" customHeight="1">
      <c r="C630" s="108"/>
      <c r="F630" s="113"/>
    </row>
    <row r="631" ht="15.75" customHeight="1">
      <c r="C631" s="108"/>
      <c r="F631" s="113"/>
    </row>
    <row r="632" ht="15.75" customHeight="1">
      <c r="C632" s="108"/>
      <c r="F632" s="113"/>
    </row>
    <row r="633" ht="15.75" customHeight="1">
      <c r="C633" s="108"/>
      <c r="F633" s="113"/>
    </row>
    <row r="634" ht="15.75" customHeight="1">
      <c r="C634" s="108"/>
      <c r="F634" s="113"/>
    </row>
    <row r="635" ht="15.75" customHeight="1">
      <c r="C635" s="108"/>
      <c r="F635" s="113"/>
    </row>
    <row r="636" ht="15.75" customHeight="1">
      <c r="C636" s="108"/>
      <c r="F636" s="113"/>
    </row>
    <row r="637" ht="15.75" customHeight="1">
      <c r="C637" s="108"/>
      <c r="F637" s="113"/>
    </row>
    <row r="638" ht="15.75" customHeight="1">
      <c r="C638" s="108"/>
      <c r="F638" s="113"/>
    </row>
    <row r="639" ht="15.75" customHeight="1">
      <c r="C639" s="108"/>
      <c r="F639" s="113"/>
    </row>
    <row r="640" ht="15.75" customHeight="1">
      <c r="C640" s="108"/>
      <c r="F640" s="113"/>
    </row>
    <row r="641" ht="15.75" customHeight="1">
      <c r="C641" s="108"/>
      <c r="F641" s="113"/>
    </row>
    <row r="642" ht="15.75" customHeight="1">
      <c r="C642" s="108"/>
      <c r="F642" s="113"/>
    </row>
    <row r="643" ht="15.75" customHeight="1">
      <c r="C643" s="108"/>
      <c r="F643" s="113"/>
    </row>
    <row r="644" ht="15.75" customHeight="1">
      <c r="C644" s="108"/>
      <c r="F644" s="113"/>
    </row>
    <row r="645" ht="15.75" customHeight="1">
      <c r="C645" s="108"/>
      <c r="F645" s="113"/>
    </row>
    <row r="646" ht="15.75" customHeight="1">
      <c r="C646" s="108"/>
      <c r="F646" s="113"/>
    </row>
    <row r="647" ht="15.75" customHeight="1">
      <c r="C647" s="108"/>
      <c r="F647" s="113"/>
    </row>
    <row r="648" ht="15.75" customHeight="1">
      <c r="C648" s="108"/>
      <c r="F648" s="113"/>
    </row>
    <row r="649" ht="15.75" customHeight="1">
      <c r="C649" s="108"/>
      <c r="F649" s="113"/>
    </row>
    <row r="650" ht="15.75" customHeight="1">
      <c r="C650" s="108"/>
      <c r="F650" s="113"/>
    </row>
    <row r="651" ht="15.75" customHeight="1">
      <c r="C651" s="108"/>
      <c r="F651" s="113"/>
    </row>
    <row r="652" ht="15.75" customHeight="1">
      <c r="C652" s="108"/>
      <c r="F652" s="113"/>
    </row>
    <row r="653" ht="15.75" customHeight="1">
      <c r="C653" s="108"/>
      <c r="F653" s="113"/>
    </row>
    <row r="654" ht="15.75" customHeight="1">
      <c r="C654" s="108"/>
      <c r="F654" s="113"/>
    </row>
    <row r="655" ht="15.75" customHeight="1">
      <c r="C655" s="108"/>
      <c r="F655" s="113"/>
    </row>
    <row r="656" ht="15.75" customHeight="1">
      <c r="C656" s="108"/>
      <c r="F656" s="113"/>
    </row>
    <row r="657" ht="15.75" customHeight="1">
      <c r="C657" s="108"/>
      <c r="F657" s="113"/>
    </row>
    <row r="658" ht="15.75" customHeight="1">
      <c r="C658" s="108"/>
      <c r="F658" s="113"/>
    </row>
    <row r="659" ht="15.75" customHeight="1">
      <c r="C659" s="108"/>
      <c r="F659" s="113"/>
    </row>
    <row r="660" ht="15.75" customHeight="1">
      <c r="C660" s="108"/>
      <c r="F660" s="113"/>
    </row>
    <row r="661" ht="15.75" customHeight="1">
      <c r="C661" s="108"/>
      <c r="F661" s="113"/>
    </row>
    <row r="662" ht="15.75" customHeight="1">
      <c r="C662" s="108"/>
      <c r="F662" s="113"/>
    </row>
    <row r="663" ht="15.75" customHeight="1">
      <c r="C663" s="108"/>
      <c r="F663" s="113"/>
    </row>
    <row r="664" ht="15.75" customHeight="1">
      <c r="C664" s="108"/>
      <c r="F664" s="113"/>
    </row>
    <row r="665" ht="15.75" customHeight="1">
      <c r="C665" s="108"/>
      <c r="F665" s="113"/>
    </row>
    <row r="666" ht="15.75" customHeight="1">
      <c r="C666" s="108"/>
      <c r="F666" s="113"/>
    </row>
    <row r="667" ht="15.75" customHeight="1">
      <c r="C667" s="108"/>
      <c r="F667" s="113"/>
    </row>
    <row r="668" ht="15.75" customHeight="1">
      <c r="C668" s="108"/>
      <c r="F668" s="113"/>
    </row>
    <row r="669" ht="15.75" customHeight="1">
      <c r="C669" s="108"/>
      <c r="F669" s="113"/>
    </row>
    <row r="670" ht="15.75" customHeight="1">
      <c r="C670" s="108"/>
      <c r="F670" s="113"/>
    </row>
    <row r="671" ht="15.75" customHeight="1">
      <c r="C671" s="108"/>
      <c r="F671" s="113"/>
    </row>
    <row r="672" ht="15.75" customHeight="1">
      <c r="C672" s="108"/>
      <c r="F672" s="113"/>
    </row>
    <row r="673" ht="15.75" customHeight="1">
      <c r="C673" s="108"/>
      <c r="F673" s="113"/>
    </row>
    <row r="674" ht="15.75" customHeight="1">
      <c r="C674" s="108"/>
      <c r="F674" s="113"/>
    </row>
    <row r="675" ht="15.75" customHeight="1">
      <c r="C675" s="108"/>
      <c r="F675" s="113"/>
    </row>
    <row r="676" ht="15.75" customHeight="1">
      <c r="C676" s="108"/>
      <c r="F676" s="113"/>
    </row>
    <row r="677" ht="15.75" customHeight="1">
      <c r="C677" s="108"/>
      <c r="F677" s="113"/>
    </row>
    <row r="678" ht="15.75" customHeight="1">
      <c r="C678" s="108"/>
      <c r="F678" s="113"/>
    </row>
    <row r="679" ht="15.75" customHeight="1">
      <c r="C679" s="108"/>
      <c r="F679" s="113"/>
    </row>
    <row r="680" ht="15.75" customHeight="1">
      <c r="C680" s="108"/>
      <c r="F680" s="113"/>
    </row>
    <row r="681" ht="15.75" customHeight="1">
      <c r="C681" s="108"/>
      <c r="F681" s="113"/>
    </row>
    <row r="682" ht="15.75" customHeight="1">
      <c r="C682" s="108"/>
      <c r="F682" s="113"/>
    </row>
    <row r="683" ht="15.75" customHeight="1">
      <c r="C683" s="108"/>
      <c r="F683" s="113"/>
    </row>
    <row r="684" ht="15.75" customHeight="1">
      <c r="C684" s="108"/>
      <c r="F684" s="113"/>
    </row>
    <row r="685" ht="15.75" customHeight="1">
      <c r="C685" s="108"/>
      <c r="F685" s="113"/>
    </row>
    <row r="686" ht="15.75" customHeight="1">
      <c r="C686" s="108"/>
      <c r="F686" s="113"/>
    </row>
    <row r="687" ht="15.75" customHeight="1">
      <c r="C687" s="108"/>
      <c r="F687" s="113"/>
    </row>
    <row r="688" ht="15.75" customHeight="1">
      <c r="C688" s="108"/>
      <c r="F688" s="113"/>
    </row>
    <row r="689" ht="15.75" customHeight="1">
      <c r="C689" s="108"/>
      <c r="F689" s="113"/>
    </row>
    <row r="690" ht="15.75" customHeight="1">
      <c r="C690" s="108"/>
      <c r="F690" s="113"/>
    </row>
    <row r="691" ht="15.75" customHeight="1">
      <c r="C691" s="108"/>
      <c r="F691" s="113"/>
    </row>
    <row r="692" ht="15.75" customHeight="1">
      <c r="C692" s="108"/>
      <c r="F692" s="113"/>
    </row>
    <row r="693" ht="15.75" customHeight="1">
      <c r="C693" s="108"/>
      <c r="F693" s="113"/>
    </row>
    <row r="694" ht="15.75" customHeight="1">
      <c r="C694" s="108"/>
      <c r="F694" s="113"/>
    </row>
    <row r="695" ht="15.75" customHeight="1">
      <c r="C695" s="108"/>
      <c r="F695" s="113"/>
    </row>
    <row r="696" ht="15.75" customHeight="1">
      <c r="C696" s="108"/>
      <c r="F696" s="113"/>
    </row>
    <row r="697" ht="15.75" customHeight="1">
      <c r="C697" s="108"/>
      <c r="F697" s="113"/>
    </row>
    <row r="698" ht="15.75" customHeight="1">
      <c r="C698" s="108"/>
      <c r="F698" s="113"/>
    </row>
    <row r="699" ht="15.75" customHeight="1">
      <c r="C699" s="108"/>
      <c r="F699" s="113"/>
    </row>
    <row r="700" ht="15.75" customHeight="1">
      <c r="C700" s="108"/>
      <c r="F700" s="113"/>
    </row>
    <row r="701" ht="15.75" customHeight="1">
      <c r="C701" s="108"/>
      <c r="F701" s="113"/>
    </row>
    <row r="702" ht="15.75" customHeight="1">
      <c r="C702" s="108"/>
      <c r="F702" s="113"/>
    </row>
    <row r="703" ht="15.75" customHeight="1">
      <c r="C703" s="108"/>
      <c r="F703" s="113"/>
    </row>
    <row r="704" ht="15.75" customHeight="1">
      <c r="C704" s="108"/>
      <c r="F704" s="113"/>
    </row>
    <row r="705" ht="15.75" customHeight="1">
      <c r="C705" s="108"/>
      <c r="F705" s="113"/>
    </row>
    <row r="706" ht="15.75" customHeight="1">
      <c r="C706" s="108"/>
      <c r="F706" s="113"/>
    </row>
    <row r="707" ht="15.75" customHeight="1">
      <c r="C707" s="108"/>
      <c r="F707" s="113"/>
    </row>
    <row r="708" ht="15.75" customHeight="1">
      <c r="C708" s="108"/>
      <c r="F708" s="113"/>
    </row>
    <row r="709" ht="15.75" customHeight="1">
      <c r="C709" s="108"/>
      <c r="F709" s="113"/>
    </row>
    <row r="710" ht="15.75" customHeight="1">
      <c r="C710" s="108"/>
      <c r="F710" s="113"/>
    </row>
    <row r="711" ht="15.75" customHeight="1">
      <c r="C711" s="108"/>
      <c r="F711" s="113"/>
    </row>
    <row r="712" ht="15.75" customHeight="1">
      <c r="C712" s="108"/>
      <c r="F712" s="113"/>
    </row>
    <row r="713" ht="15.75" customHeight="1">
      <c r="C713" s="108"/>
      <c r="F713" s="113"/>
    </row>
    <row r="714" ht="15.75" customHeight="1">
      <c r="C714" s="108"/>
      <c r="F714" s="113"/>
    </row>
    <row r="715" ht="15.75" customHeight="1">
      <c r="C715" s="108"/>
      <c r="F715" s="113"/>
    </row>
    <row r="716" ht="15.75" customHeight="1">
      <c r="C716" s="108"/>
      <c r="F716" s="113"/>
    </row>
    <row r="717" ht="15.75" customHeight="1">
      <c r="C717" s="108"/>
      <c r="F717" s="113"/>
    </row>
    <row r="718" ht="15.75" customHeight="1">
      <c r="C718" s="108"/>
      <c r="F718" s="113"/>
    </row>
    <row r="719" ht="15.75" customHeight="1">
      <c r="C719" s="108"/>
      <c r="F719" s="113"/>
    </row>
    <row r="720" ht="15.75" customHeight="1">
      <c r="C720" s="108"/>
      <c r="F720" s="113"/>
    </row>
    <row r="721" ht="15.75" customHeight="1">
      <c r="C721" s="108"/>
      <c r="F721" s="113"/>
    </row>
    <row r="722" ht="15.75" customHeight="1">
      <c r="C722" s="108"/>
      <c r="F722" s="113"/>
    </row>
    <row r="723" ht="15.75" customHeight="1">
      <c r="C723" s="108"/>
      <c r="F723" s="113"/>
    </row>
    <row r="724" ht="15.75" customHeight="1">
      <c r="C724" s="108"/>
      <c r="F724" s="113"/>
    </row>
    <row r="725" ht="15.75" customHeight="1">
      <c r="C725" s="108"/>
      <c r="F725" s="113"/>
    </row>
    <row r="726" ht="15.75" customHeight="1">
      <c r="C726" s="108"/>
      <c r="F726" s="113"/>
    </row>
    <row r="727" ht="15.75" customHeight="1">
      <c r="C727" s="108"/>
      <c r="F727" s="113"/>
    </row>
    <row r="728" ht="15.75" customHeight="1">
      <c r="C728" s="108"/>
      <c r="F728" s="113"/>
    </row>
    <row r="729" ht="15.75" customHeight="1">
      <c r="C729" s="108"/>
      <c r="F729" s="113"/>
    </row>
    <row r="730" ht="15.75" customHeight="1">
      <c r="C730" s="108"/>
      <c r="F730" s="113"/>
    </row>
    <row r="731" ht="15.75" customHeight="1">
      <c r="C731" s="108"/>
      <c r="F731" s="113"/>
    </row>
    <row r="732" ht="15.75" customHeight="1">
      <c r="C732" s="108"/>
      <c r="F732" s="113"/>
    </row>
    <row r="733" ht="15.75" customHeight="1">
      <c r="C733" s="108"/>
      <c r="F733" s="113"/>
    </row>
    <row r="734" ht="15.75" customHeight="1">
      <c r="C734" s="108"/>
      <c r="F734" s="113"/>
    </row>
    <row r="735" ht="15.75" customHeight="1">
      <c r="C735" s="108"/>
      <c r="F735" s="113"/>
    </row>
    <row r="736" ht="15.75" customHeight="1">
      <c r="C736" s="108"/>
      <c r="F736" s="113"/>
    </row>
    <row r="737" ht="15.75" customHeight="1">
      <c r="C737" s="108"/>
      <c r="F737" s="113"/>
    </row>
    <row r="738" ht="15.75" customHeight="1">
      <c r="C738" s="108"/>
      <c r="F738" s="113"/>
    </row>
    <row r="739" ht="15.75" customHeight="1">
      <c r="C739" s="108"/>
      <c r="F739" s="113"/>
    </row>
    <row r="740" ht="15.75" customHeight="1">
      <c r="C740" s="108"/>
      <c r="F740" s="113"/>
    </row>
    <row r="741" ht="15.75" customHeight="1">
      <c r="C741" s="108"/>
      <c r="F741" s="113"/>
    </row>
    <row r="742" ht="15.75" customHeight="1">
      <c r="C742" s="108"/>
      <c r="F742" s="113"/>
    </row>
    <row r="743" ht="15.75" customHeight="1">
      <c r="C743" s="108"/>
      <c r="F743" s="113"/>
    </row>
    <row r="744" ht="15.75" customHeight="1">
      <c r="C744" s="108"/>
      <c r="F744" s="113"/>
    </row>
    <row r="745" ht="15.75" customHeight="1">
      <c r="C745" s="108"/>
      <c r="F745" s="113"/>
    </row>
    <row r="746" ht="15.75" customHeight="1">
      <c r="C746" s="108"/>
      <c r="F746" s="113"/>
    </row>
    <row r="747" ht="15.75" customHeight="1">
      <c r="C747" s="108"/>
      <c r="F747" s="113"/>
    </row>
    <row r="748" ht="15.75" customHeight="1">
      <c r="C748" s="108"/>
      <c r="F748" s="113"/>
    </row>
    <row r="749" ht="15.75" customHeight="1">
      <c r="C749" s="108"/>
      <c r="F749" s="113"/>
    </row>
    <row r="750" ht="15.75" customHeight="1">
      <c r="C750" s="108"/>
      <c r="F750" s="113"/>
    </row>
    <row r="751" ht="15.75" customHeight="1">
      <c r="C751" s="108"/>
      <c r="F751" s="113"/>
    </row>
    <row r="752" ht="15.75" customHeight="1">
      <c r="C752" s="108"/>
      <c r="F752" s="113"/>
    </row>
    <row r="753" ht="15.75" customHeight="1">
      <c r="C753" s="108"/>
      <c r="F753" s="113"/>
    </row>
    <row r="754" ht="15.75" customHeight="1">
      <c r="C754" s="108"/>
      <c r="F754" s="113"/>
    </row>
    <row r="755" ht="15.75" customHeight="1">
      <c r="C755" s="108"/>
      <c r="F755" s="113"/>
    </row>
    <row r="756" ht="15.75" customHeight="1">
      <c r="C756" s="108"/>
      <c r="F756" s="113"/>
    </row>
    <row r="757" ht="15.75" customHeight="1">
      <c r="C757" s="108"/>
      <c r="F757" s="113"/>
    </row>
    <row r="758" ht="15.75" customHeight="1">
      <c r="C758" s="108"/>
      <c r="F758" s="113"/>
    </row>
    <row r="759" ht="15.75" customHeight="1">
      <c r="C759" s="108"/>
      <c r="F759" s="113"/>
    </row>
    <row r="760" ht="15.75" customHeight="1">
      <c r="C760" s="108"/>
      <c r="F760" s="113"/>
    </row>
    <row r="761" ht="15.75" customHeight="1">
      <c r="C761" s="108"/>
      <c r="F761" s="113"/>
    </row>
    <row r="762" ht="15.75" customHeight="1">
      <c r="C762" s="108"/>
      <c r="F762" s="113"/>
    </row>
    <row r="763" ht="15.75" customHeight="1">
      <c r="C763" s="108"/>
      <c r="F763" s="113"/>
    </row>
    <row r="764" ht="15.75" customHeight="1">
      <c r="C764" s="108"/>
      <c r="F764" s="113"/>
    </row>
    <row r="765" ht="15.75" customHeight="1">
      <c r="C765" s="108"/>
      <c r="F765" s="113"/>
    </row>
    <row r="766" ht="15.75" customHeight="1">
      <c r="C766" s="108"/>
      <c r="F766" s="113"/>
    </row>
    <row r="767" ht="15.75" customHeight="1">
      <c r="C767" s="108"/>
      <c r="F767" s="113"/>
    </row>
    <row r="768" ht="15.75" customHeight="1">
      <c r="C768" s="108"/>
      <c r="F768" s="113"/>
    </row>
    <row r="769" ht="15.75" customHeight="1">
      <c r="C769" s="108"/>
      <c r="F769" s="113"/>
    </row>
    <row r="770" ht="15.75" customHeight="1">
      <c r="C770" s="108"/>
      <c r="F770" s="113"/>
    </row>
    <row r="771" ht="15.75" customHeight="1">
      <c r="C771" s="108"/>
      <c r="F771" s="113"/>
    </row>
    <row r="772" ht="15.75" customHeight="1">
      <c r="C772" s="108"/>
      <c r="F772" s="113"/>
    </row>
    <row r="773" ht="15.75" customHeight="1">
      <c r="C773" s="108"/>
      <c r="F773" s="113"/>
    </row>
    <row r="774" ht="15.75" customHeight="1">
      <c r="C774" s="108"/>
      <c r="F774" s="113"/>
    </row>
    <row r="775" ht="15.75" customHeight="1">
      <c r="C775" s="108"/>
      <c r="F775" s="113"/>
    </row>
    <row r="776" ht="15.75" customHeight="1">
      <c r="C776" s="108"/>
      <c r="F776" s="113"/>
    </row>
    <row r="777" ht="15.75" customHeight="1">
      <c r="C777" s="108"/>
      <c r="F777" s="113"/>
    </row>
    <row r="778" ht="15.75" customHeight="1">
      <c r="C778" s="108"/>
      <c r="F778" s="113"/>
    </row>
    <row r="779" ht="15.75" customHeight="1">
      <c r="C779" s="108"/>
      <c r="F779" s="113"/>
    </row>
    <row r="780" ht="15.75" customHeight="1">
      <c r="C780" s="108"/>
      <c r="F780" s="113"/>
    </row>
    <row r="781" ht="15.75" customHeight="1">
      <c r="C781" s="108"/>
      <c r="F781" s="113"/>
    </row>
    <row r="782" ht="15.75" customHeight="1">
      <c r="C782" s="108"/>
      <c r="F782" s="113"/>
    </row>
    <row r="783" ht="15.75" customHeight="1">
      <c r="C783" s="108"/>
      <c r="F783" s="113"/>
    </row>
    <row r="784" ht="15.75" customHeight="1">
      <c r="C784" s="108"/>
      <c r="F784" s="113"/>
    </row>
    <row r="785" ht="15.75" customHeight="1">
      <c r="C785" s="108"/>
      <c r="F785" s="113"/>
    </row>
    <row r="786" ht="15.75" customHeight="1">
      <c r="C786" s="108"/>
      <c r="F786" s="113"/>
    </row>
    <row r="787" ht="15.75" customHeight="1">
      <c r="C787" s="108"/>
      <c r="F787" s="113"/>
    </row>
    <row r="788" ht="15.75" customHeight="1">
      <c r="C788" s="108"/>
      <c r="F788" s="113"/>
    </row>
    <row r="789" ht="15.75" customHeight="1">
      <c r="C789" s="108"/>
      <c r="F789" s="113"/>
    </row>
    <row r="790" ht="15.75" customHeight="1">
      <c r="C790" s="108"/>
      <c r="F790" s="113"/>
    </row>
    <row r="791" ht="15.75" customHeight="1">
      <c r="C791" s="108"/>
      <c r="F791" s="113"/>
    </row>
    <row r="792" ht="15.75" customHeight="1">
      <c r="C792" s="108"/>
      <c r="F792" s="113"/>
    </row>
    <row r="793" ht="15.75" customHeight="1">
      <c r="C793" s="108"/>
      <c r="F793" s="113"/>
    </row>
    <row r="794" ht="15.75" customHeight="1">
      <c r="C794" s="108"/>
      <c r="F794" s="113"/>
    </row>
    <row r="795" ht="15.75" customHeight="1">
      <c r="C795" s="108"/>
      <c r="F795" s="113"/>
    </row>
    <row r="796" ht="15.75" customHeight="1">
      <c r="C796" s="108"/>
      <c r="F796" s="113"/>
    </row>
    <row r="797" ht="15.75" customHeight="1">
      <c r="C797" s="108"/>
      <c r="F797" s="113"/>
    </row>
    <row r="798" ht="15.75" customHeight="1">
      <c r="C798" s="108"/>
      <c r="F798" s="113"/>
    </row>
    <row r="799" ht="15.75" customHeight="1">
      <c r="C799" s="108"/>
      <c r="F799" s="113"/>
    </row>
    <row r="800" ht="15.75" customHeight="1">
      <c r="C800" s="108"/>
      <c r="F800" s="113"/>
    </row>
    <row r="801" ht="15.75" customHeight="1">
      <c r="C801" s="108"/>
      <c r="F801" s="113"/>
    </row>
    <row r="802" ht="15.75" customHeight="1">
      <c r="C802" s="108"/>
      <c r="F802" s="113"/>
    </row>
    <row r="803" ht="15.75" customHeight="1">
      <c r="C803" s="108"/>
      <c r="F803" s="113"/>
    </row>
    <row r="804" ht="15.75" customHeight="1">
      <c r="C804" s="108"/>
      <c r="F804" s="113"/>
    </row>
    <row r="805" ht="15.75" customHeight="1">
      <c r="C805" s="108"/>
      <c r="F805" s="113"/>
    </row>
    <row r="806" ht="15.75" customHeight="1">
      <c r="C806" s="108"/>
      <c r="F806" s="113"/>
    </row>
    <row r="807" ht="15.75" customHeight="1">
      <c r="C807" s="108"/>
      <c r="F807" s="113"/>
    </row>
    <row r="808" ht="15.75" customHeight="1">
      <c r="C808" s="108"/>
      <c r="F808" s="113"/>
    </row>
    <row r="809" ht="15.75" customHeight="1">
      <c r="C809" s="108"/>
      <c r="F809" s="113"/>
    </row>
    <row r="810" ht="15.75" customHeight="1">
      <c r="C810" s="108"/>
      <c r="F810" s="113"/>
    </row>
    <row r="811" ht="15.75" customHeight="1">
      <c r="C811" s="108"/>
      <c r="F811" s="113"/>
    </row>
    <row r="812" ht="15.75" customHeight="1">
      <c r="C812" s="108"/>
      <c r="F812" s="113"/>
    </row>
    <row r="813" ht="15.75" customHeight="1">
      <c r="C813" s="108"/>
      <c r="F813" s="113"/>
    </row>
    <row r="814" ht="15.75" customHeight="1">
      <c r="C814" s="108"/>
      <c r="F814" s="113"/>
    </row>
    <row r="815" ht="15.75" customHeight="1">
      <c r="C815" s="108"/>
      <c r="F815" s="113"/>
    </row>
    <row r="816" ht="15.75" customHeight="1">
      <c r="C816" s="108"/>
      <c r="F816" s="113"/>
    </row>
    <row r="817" ht="15.75" customHeight="1">
      <c r="C817" s="108"/>
      <c r="F817" s="113"/>
    </row>
    <row r="818" ht="15.75" customHeight="1">
      <c r="C818" s="108"/>
      <c r="F818" s="113"/>
    </row>
    <row r="819" ht="15.75" customHeight="1">
      <c r="C819" s="108"/>
      <c r="F819" s="113"/>
    </row>
    <row r="820" ht="15.75" customHeight="1">
      <c r="C820" s="108"/>
      <c r="F820" s="113"/>
    </row>
    <row r="821" ht="15.75" customHeight="1">
      <c r="C821" s="108"/>
      <c r="F821" s="113"/>
    </row>
    <row r="822" ht="15.75" customHeight="1">
      <c r="C822" s="108"/>
      <c r="F822" s="113"/>
    </row>
    <row r="823" ht="15.75" customHeight="1">
      <c r="C823" s="108"/>
      <c r="F823" s="113"/>
    </row>
    <row r="824" ht="15.75" customHeight="1">
      <c r="C824" s="108"/>
      <c r="F824" s="113"/>
    </row>
    <row r="825" ht="15.75" customHeight="1">
      <c r="C825" s="108"/>
      <c r="F825" s="113"/>
    </row>
    <row r="826" ht="15.75" customHeight="1">
      <c r="C826" s="108"/>
      <c r="F826" s="113"/>
    </row>
    <row r="827" ht="15.75" customHeight="1">
      <c r="C827" s="108"/>
      <c r="F827" s="113"/>
    </row>
    <row r="828" ht="15.75" customHeight="1">
      <c r="C828" s="108"/>
      <c r="F828" s="113"/>
    </row>
    <row r="829" ht="15.75" customHeight="1">
      <c r="C829" s="108"/>
      <c r="F829" s="113"/>
    </row>
    <row r="830" ht="15.75" customHeight="1">
      <c r="C830" s="108"/>
      <c r="F830" s="113"/>
    </row>
    <row r="831" ht="15.75" customHeight="1">
      <c r="C831" s="108"/>
      <c r="F831" s="113"/>
    </row>
    <row r="832" ht="15.75" customHeight="1">
      <c r="C832" s="108"/>
      <c r="F832" s="113"/>
    </row>
    <row r="833" ht="15.75" customHeight="1">
      <c r="C833" s="108"/>
      <c r="F833" s="113"/>
    </row>
    <row r="834" ht="15.75" customHeight="1">
      <c r="C834" s="108"/>
      <c r="F834" s="113"/>
    </row>
    <row r="835" ht="15.75" customHeight="1">
      <c r="C835" s="108"/>
      <c r="F835" s="113"/>
    </row>
    <row r="836" ht="15.75" customHeight="1">
      <c r="C836" s="108"/>
      <c r="F836" s="113"/>
    </row>
    <row r="837" ht="15.75" customHeight="1">
      <c r="C837" s="108"/>
      <c r="F837" s="113"/>
    </row>
    <row r="838" ht="15.75" customHeight="1">
      <c r="C838" s="108"/>
      <c r="F838" s="113"/>
    </row>
    <row r="839" ht="15.75" customHeight="1">
      <c r="C839" s="108"/>
      <c r="F839" s="113"/>
    </row>
    <row r="840" ht="15.75" customHeight="1">
      <c r="C840" s="108"/>
      <c r="F840" s="113"/>
    </row>
    <row r="841" ht="15.75" customHeight="1">
      <c r="C841" s="108"/>
      <c r="F841" s="113"/>
    </row>
    <row r="842" ht="15.75" customHeight="1">
      <c r="C842" s="108"/>
      <c r="F842" s="113"/>
    </row>
    <row r="843" ht="15.75" customHeight="1">
      <c r="C843" s="108"/>
      <c r="F843" s="113"/>
    </row>
    <row r="844" ht="15.75" customHeight="1">
      <c r="C844" s="108"/>
      <c r="F844" s="113"/>
    </row>
    <row r="845" ht="15.75" customHeight="1">
      <c r="C845" s="108"/>
      <c r="F845" s="113"/>
    </row>
    <row r="846" ht="15.75" customHeight="1">
      <c r="C846" s="108"/>
      <c r="F846" s="113"/>
    </row>
    <row r="847" ht="15.75" customHeight="1">
      <c r="C847" s="108"/>
      <c r="F847" s="113"/>
    </row>
    <row r="848" ht="15.75" customHeight="1">
      <c r="C848" s="108"/>
      <c r="F848" s="113"/>
    </row>
    <row r="849" ht="15.75" customHeight="1">
      <c r="C849" s="108"/>
      <c r="F849" s="113"/>
    </row>
    <row r="850" ht="15.75" customHeight="1">
      <c r="C850" s="108"/>
      <c r="F850" s="113"/>
    </row>
    <row r="851" ht="15.75" customHeight="1">
      <c r="C851" s="108"/>
      <c r="F851" s="113"/>
    </row>
    <row r="852" ht="15.75" customHeight="1">
      <c r="C852" s="108"/>
      <c r="F852" s="113"/>
    </row>
    <row r="853" ht="15.75" customHeight="1">
      <c r="C853" s="108"/>
      <c r="F853" s="113"/>
    </row>
    <row r="854" ht="15.75" customHeight="1">
      <c r="C854" s="108"/>
      <c r="F854" s="113"/>
    </row>
    <row r="855" ht="15.75" customHeight="1">
      <c r="C855" s="108"/>
      <c r="F855" s="113"/>
    </row>
    <row r="856" ht="15.75" customHeight="1">
      <c r="C856" s="108"/>
      <c r="F856" s="113"/>
    </row>
    <row r="857" ht="15.75" customHeight="1">
      <c r="C857" s="108"/>
      <c r="F857" s="113"/>
    </row>
    <row r="858" ht="15.75" customHeight="1">
      <c r="C858" s="108"/>
      <c r="F858" s="113"/>
    </row>
    <row r="859" ht="15.75" customHeight="1">
      <c r="C859" s="108"/>
      <c r="F859" s="113"/>
    </row>
    <row r="860" ht="15.75" customHeight="1">
      <c r="C860" s="108"/>
      <c r="F860" s="113"/>
    </row>
    <row r="861" ht="15.75" customHeight="1">
      <c r="C861" s="108"/>
      <c r="F861" s="113"/>
    </row>
    <row r="862" ht="15.75" customHeight="1">
      <c r="C862" s="108"/>
      <c r="F862" s="113"/>
    </row>
    <row r="863" ht="15.75" customHeight="1">
      <c r="C863" s="108"/>
      <c r="F863" s="113"/>
    </row>
    <row r="864" ht="15.75" customHeight="1">
      <c r="C864" s="108"/>
      <c r="F864" s="113"/>
    </row>
    <row r="865" ht="15.75" customHeight="1">
      <c r="C865" s="108"/>
      <c r="F865" s="113"/>
    </row>
    <row r="866" ht="15.75" customHeight="1">
      <c r="C866" s="108"/>
      <c r="F866" s="113"/>
    </row>
    <row r="867" ht="15.75" customHeight="1">
      <c r="C867" s="108"/>
      <c r="F867" s="113"/>
    </row>
    <row r="868" ht="15.75" customHeight="1">
      <c r="C868" s="108"/>
      <c r="F868" s="113"/>
    </row>
    <row r="869" ht="15.75" customHeight="1">
      <c r="C869" s="108"/>
      <c r="F869" s="113"/>
    </row>
    <row r="870" ht="15.75" customHeight="1">
      <c r="C870" s="108"/>
      <c r="F870" s="113"/>
    </row>
    <row r="871" ht="15.75" customHeight="1">
      <c r="C871" s="108"/>
      <c r="F871" s="113"/>
    </row>
    <row r="872" ht="15.75" customHeight="1">
      <c r="C872" s="108"/>
      <c r="F872" s="113"/>
    </row>
    <row r="873" ht="15.75" customHeight="1">
      <c r="C873" s="108"/>
      <c r="F873" s="113"/>
    </row>
    <row r="874" ht="15.75" customHeight="1">
      <c r="C874" s="108"/>
      <c r="F874" s="113"/>
    </row>
    <row r="875" ht="15.75" customHeight="1">
      <c r="C875" s="108"/>
      <c r="F875" s="113"/>
    </row>
    <row r="876" ht="15.75" customHeight="1">
      <c r="C876" s="108"/>
      <c r="F876" s="113"/>
    </row>
    <row r="877" ht="15.75" customHeight="1">
      <c r="C877" s="108"/>
      <c r="F877" s="113"/>
    </row>
    <row r="878" ht="15.75" customHeight="1">
      <c r="C878" s="108"/>
      <c r="F878" s="113"/>
    </row>
    <row r="879" ht="15.75" customHeight="1">
      <c r="C879" s="108"/>
      <c r="F879" s="113"/>
    </row>
    <row r="880" ht="15.75" customHeight="1">
      <c r="C880" s="108"/>
      <c r="F880" s="113"/>
    </row>
    <row r="881" ht="15.75" customHeight="1">
      <c r="C881" s="108"/>
      <c r="F881" s="113"/>
    </row>
    <row r="882" ht="15.75" customHeight="1">
      <c r="C882" s="108"/>
      <c r="F882" s="113"/>
    </row>
    <row r="883" ht="15.75" customHeight="1">
      <c r="C883" s="108"/>
      <c r="F883" s="113"/>
    </row>
    <row r="884" ht="15.75" customHeight="1">
      <c r="C884" s="108"/>
      <c r="F884" s="113"/>
    </row>
    <row r="885" ht="15.75" customHeight="1">
      <c r="C885" s="108"/>
      <c r="F885" s="113"/>
    </row>
    <row r="886" ht="15.75" customHeight="1">
      <c r="C886" s="108"/>
      <c r="F886" s="113"/>
    </row>
    <row r="887" ht="15.75" customHeight="1">
      <c r="C887" s="108"/>
      <c r="F887" s="113"/>
    </row>
    <row r="888" ht="15.75" customHeight="1">
      <c r="C888" s="108"/>
      <c r="F888" s="113"/>
    </row>
    <row r="889" ht="15.75" customHeight="1">
      <c r="C889" s="108"/>
      <c r="F889" s="113"/>
    </row>
    <row r="890" ht="15.75" customHeight="1">
      <c r="C890" s="108"/>
      <c r="F890" s="113"/>
    </row>
    <row r="891" ht="15.75" customHeight="1">
      <c r="C891" s="108"/>
      <c r="F891" s="113"/>
    </row>
    <row r="892" ht="15.75" customHeight="1">
      <c r="C892" s="108"/>
      <c r="F892" s="113"/>
    </row>
    <row r="893" ht="15.75" customHeight="1">
      <c r="C893" s="108"/>
      <c r="F893" s="113"/>
    </row>
    <row r="894" ht="15.75" customHeight="1">
      <c r="C894" s="108"/>
      <c r="F894" s="113"/>
    </row>
    <row r="895" ht="15.75" customHeight="1">
      <c r="C895" s="108"/>
      <c r="F895" s="113"/>
    </row>
    <row r="896" ht="15.75" customHeight="1">
      <c r="C896" s="108"/>
      <c r="F896" s="113"/>
    </row>
    <row r="897" ht="15.75" customHeight="1">
      <c r="C897" s="108"/>
      <c r="F897" s="113"/>
    </row>
    <row r="898" ht="15.75" customHeight="1">
      <c r="C898" s="108"/>
      <c r="F898" s="113"/>
    </row>
    <row r="899" ht="15.75" customHeight="1">
      <c r="C899" s="108"/>
      <c r="F899" s="113"/>
    </row>
    <row r="900" ht="15.75" customHeight="1">
      <c r="C900" s="108"/>
      <c r="F900" s="113"/>
    </row>
    <row r="901" ht="15.75" customHeight="1">
      <c r="C901" s="108"/>
      <c r="F901" s="113"/>
    </row>
    <row r="902" ht="15.75" customHeight="1">
      <c r="C902" s="108"/>
      <c r="F902" s="113"/>
    </row>
    <row r="903" ht="15.75" customHeight="1">
      <c r="C903" s="108"/>
      <c r="F903" s="113"/>
    </row>
    <row r="904" ht="15.75" customHeight="1">
      <c r="C904" s="108"/>
      <c r="F904" s="113"/>
    </row>
    <row r="905" ht="15.75" customHeight="1">
      <c r="C905" s="108"/>
      <c r="F905" s="113"/>
    </row>
    <row r="906" ht="15.75" customHeight="1">
      <c r="C906" s="108"/>
      <c r="F906" s="113"/>
    </row>
    <row r="907" ht="15.75" customHeight="1">
      <c r="C907" s="108"/>
      <c r="F907" s="113"/>
    </row>
    <row r="908" ht="15.75" customHeight="1">
      <c r="C908" s="108"/>
      <c r="F908" s="113"/>
    </row>
    <row r="909" ht="15.75" customHeight="1">
      <c r="C909" s="108"/>
      <c r="F909" s="113"/>
    </row>
    <row r="910" ht="15.75" customHeight="1">
      <c r="C910" s="108"/>
      <c r="F910" s="113"/>
    </row>
    <row r="911" ht="15.75" customHeight="1">
      <c r="C911" s="108"/>
      <c r="F911" s="113"/>
    </row>
    <row r="912" ht="15.75" customHeight="1">
      <c r="C912" s="108"/>
      <c r="F912" s="113"/>
    </row>
    <row r="913" ht="15.75" customHeight="1">
      <c r="C913" s="108"/>
      <c r="F913" s="113"/>
    </row>
    <row r="914" ht="15.75" customHeight="1">
      <c r="C914" s="108"/>
      <c r="F914" s="113"/>
    </row>
    <row r="915" ht="15.75" customHeight="1">
      <c r="C915" s="108"/>
      <c r="F915" s="113"/>
    </row>
    <row r="916" ht="15.75" customHeight="1">
      <c r="C916" s="108"/>
      <c r="F916" s="113"/>
    </row>
    <row r="917" ht="15.75" customHeight="1">
      <c r="C917" s="108"/>
      <c r="F917" s="113"/>
    </row>
    <row r="918" ht="15.75" customHeight="1">
      <c r="C918" s="108"/>
      <c r="F918" s="113"/>
    </row>
    <row r="919" ht="15.75" customHeight="1">
      <c r="C919" s="108"/>
      <c r="F919" s="113"/>
    </row>
    <row r="920" ht="15.75" customHeight="1">
      <c r="C920" s="108"/>
      <c r="F920" s="113"/>
    </row>
    <row r="921" ht="15.75" customHeight="1">
      <c r="C921" s="108"/>
      <c r="F921" s="113"/>
    </row>
    <row r="922" ht="15.75" customHeight="1">
      <c r="C922" s="108"/>
      <c r="F922" s="113"/>
    </row>
    <row r="923" ht="15.75" customHeight="1">
      <c r="C923" s="108"/>
      <c r="F923" s="113"/>
    </row>
    <row r="924" ht="15.75" customHeight="1">
      <c r="C924" s="108"/>
      <c r="F924" s="113"/>
    </row>
    <row r="925" ht="15.75" customHeight="1">
      <c r="C925" s="108"/>
      <c r="F925" s="113"/>
    </row>
    <row r="926" ht="15.75" customHeight="1">
      <c r="C926" s="108"/>
      <c r="F926" s="113"/>
    </row>
    <row r="927" ht="15.75" customHeight="1">
      <c r="C927" s="108"/>
      <c r="F927" s="113"/>
    </row>
    <row r="928" ht="15.75" customHeight="1">
      <c r="C928" s="108"/>
      <c r="F928" s="113"/>
    </row>
    <row r="929" ht="15.75" customHeight="1">
      <c r="C929" s="108"/>
      <c r="F929" s="113"/>
    </row>
    <row r="930" ht="15.75" customHeight="1">
      <c r="C930" s="108"/>
      <c r="F930" s="113"/>
    </row>
    <row r="931" ht="15.75" customHeight="1">
      <c r="C931" s="108"/>
      <c r="F931" s="113"/>
    </row>
    <row r="932" ht="15.75" customHeight="1">
      <c r="C932" s="108"/>
      <c r="F932" s="113"/>
    </row>
    <row r="933" ht="15.75" customHeight="1">
      <c r="C933" s="108"/>
      <c r="F933" s="113"/>
    </row>
    <row r="934" ht="15.75" customHeight="1">
      <c r="C934" s="108"/>
      <c r="F934" s="113"/>
    </row>
    <row r="935" ht="15.75" customHeight="1">
      <c r="C935" s="108"/>
      <c r="F935" s="113"/>
    </row>
    <row r="936" ht="15.75" customHeight="1">
      <c r="C936" s="108"/>
      <c r="F936" s="113"/>
    </row>
    <row r="937" ht="15.75" customHeight="1">
      <c r="C937" s="108"/>
      <c r="F937" s="113"/>
    </row>
    <row r="938" ht="15.75" customHeight="1">
      <c r="C938" s="108"/>
      <c r="F938" s="113"/>
    </row>
    <row r="939" ht="15.75" customHeight="1">
      <c r="C939" s="108"/>
      <c r="F939" s="113"/>
    </row>
    <row r="940" ht="15.75" customHeight="1">
      <c r="C940" s="108"/>
      <c r="F940" s="113"/>
    </row>
    <row r="941" ht="15.75" customHeight="1">
      <c r="C941" s="108"/>
      <c r="F941" s="113"/>
    </row>
    <row r="942" ht="15.75" customHeight="1">
      <c r="C942" s="108"/>
      <c r="F942" s="113"/>
    </row>
    <row r="943" ht="15.75" customHeight="1">
      <c r="C943" s="108"/>
      <c r="F943" s="113"/>
    </row>
    <row r="944" ht="15.75" customHeight="1">
      <c r="C944" s="108"/>
      <c r="F944" s="113"/>
    </row>
    <row r="945" ht="15.75" customHeight="1">
      <c r="C945" s="108"/>
      <c r="F945" s="113"/>
    </row>
    <row r="946" ht="15.75" customHeight="1">
      <c r="C946" s="108"/>
      <c r="F946" s="113"/>
    </row>
    <row r="947" ht="15.75" customHeight="1">
      <c r="C947" s="108"/>
      <c r="F947" s="113"/>
    </row>
    <row r="948" ht="15.75" customHeight="1">
      <c r="C948" s="108"/>
      <c r="F948" s="113"/>
    </row>
    <row r="949" ht="15.75" customHeight="1">
      <c r="C949" s="108"/>
      <c r="F949" s="113"/>
    </row>
    <row r="950" ht="15.75" customHeight="1">
      <c r="C950" s="108"/>
      <c r="F950" s="113"/>
    </row>
    <row r="951" ht="15.75" customHeight="1">
      <c r="C951" s="108"/>
      <c r="F951" s="113"/>
    </row>
    <row r="952" ht="15.75" customHeight="1">
      <c r="C952" s="108"/>
      <c r="F952" s="113"/>
    </row>
    <row r="953" ht="15.75" customHeight="1">
      <c r="C953" s="108"/>
      <c r="F953" s="113"/>
    </row>
    <row r="954" ht="15.75" customHeight="1">
      <c r="C954" s="108"/>
      <c r="F954" s="113"/>
    </row>
    <row r="955" ht="15.75" customHeight="1">
      <c r="C955" s="108"/>
      <c r="F955" s="113"/>
    </row>
    <row r="956" ht="15.75" customHeight="1">
      <c r="C956" s="108"/>
      <c r="F956" s="113"/>
    </row>
    <row r="957" ht="15.75" customHeight="1">
      <c r="C957" s="108"/>
      <c r="F957" s="113"/>
    </row>
    <row r="958" ht="15.75" customHeight="1">
      <c r="C958" s="108"/>
      <c r="F958" s="113"/>
    </row>
    <row r="959" ht="15.75" customHeight="1">
      <c r="C959" s="108"/>
      <c r="F959" s="113"/>
    </row>
    <row r="960" ht="15.75" customHeight="1">
      <c r="C960" s="108"/>
      <c r="F960" s="113"/>
    </row>
    <row r="961" ht="15.75" customHeight="1">
      <c r="C961" s="108"/>
      <c r="F961" s="113"/>
    </row>
    <row r="962" ht="15.75" customHeight="1">
      <c r="C962" s="108"/>
      <c r="F962" s="113"/>
    </row>
    <row r="963" ht="15.75" customHeight="1">
      <c r="C963" s="108"/>
      <c r="F963" s="113"/>
    </row>
    <row r="964" ht="15.75" customHeight="1">
      <c r="C964" s="108"/>
      <c r="F964" s="113"/>
    </row>
    <row r="965" ht="15.75" customHeight="1">
      <c r="C965" s="108"/>
      <c r="F965" s="113"/>
    </row>
    <row r="966" ht="15.75" customHeight="1">
      <c r="C966" s="108"/>
      <c r="F966" s="113"/>
    </row>
    <row r="967" ht="15.75" customHeight="1">
      <c r="C967" s="108"/>
      <c r="F967" s="113"/>
    </row>
    <row r="968" ht="15.75" customHeight="1">
      <c r="C968" s="108"/>
      <c r="F968" s="113"/>
    </row>
    <row r="969" ht="15.75" customHeight="1">
      <c r="C969" s="108"/>
      <c r="F969" s="113"/>
    </row>
    <row r="970" ht="15.75" customHeight="1">
      <c r="C970" s="108"/>
      <c r="F970" s="113"/>
    </row>
    <row r="971" ht="15.75" customHeight="1">
      <c r="C971" s="108"/>
      <c r="F971" s="113"/>
    </row>
    <row r="972" ht="15.75" customHeight="1">
      <c r="C972" s="108"/>
      <c r="F972" s="113"/>
    </row>
    <row r="973" ht="15.75" customHeight="1">
      <c r="C973" s="108"/>
      <c r="F973" s="113"/>
    </row>
    <row r="974" ht="15.75" customHeight="1">
      <c r="C974" s="108"/>
      <c r="F974" s="113"/>
    </row>
    <row r="975" ht="15.75" customHeight="1">
      <c r="C975" s="108"/>
      <c r="F975" s="113"/>
    </row>
    <row r="976" ht="15.75" customHeight="1">
      <c r="C976" s="108"/>
      <c r="F976" s="113"/>
    </row>
    <row r="977" ht="15.75" customHeight="1">
      <c r="C977" s="108"/>
      <c r="F977" s="113"/>
    </row>
    <row r="978" ht="15.75" customHeight="1">
      <c r="F978" s="113"/>
    </row>
    <row r="979">
      <c r="F979" s="113"/>
    </row>
    <row r="980">
      <c r="F980" s="113"/>
    </row>
    <row r="981">
      <c r="F981" s="113"/>
    </row>
    <row r="982">
      <c r="F982" s="113"/>
    </row>
    <row r="983">
      <c r="F983" s="113"/>
    </row>
    <row r="984">
      <c r="F984" s="113"/>
    </row>
    <row r="985">
      <c r="F985" s="113"/>
    </row>
    <row r="986">
      <c r="F986" s="113"/>
    </row>
    <row r="987">
      <c r="F987" s="113"/>
    </row>
    <row r="988">
      <c r="F988" s="113"/>
    </row>
    <row r="989">
      <c r="F989" s="113"/>
    </row>
    <row r="990">
      <c r="F990" s="113"/>
    </row>
    <row r="991">
      <c r="F991" s="113"/>
    </row>
  </sheetData>
  <hyperlinks>
    <hyperlink r:id="rId1" ref="B46"/>
  </hyperlinks>
  <printOptions/>
  <pageMargins bottom="0.4724409448818898" footer="0.0" header="0.0" left="0.2755905511811024" right="0.31496062992125984" top="0.5118110236220472"/>
  <pageSetup paperSize="5" scale="55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6.71"/>
    <col customWidth="1" min="3" max="3" width="18.57"/>
    <col customWidth="1" min="4" max="4" width="6.14"/>
    <col customWidth="1" min="5" max="5" width="13.43"/>
    <col customWidth="1" min="6" max="6" width="15.29"/>
    <col customWidth="1" min="7" max="7" width="12.71"/>
    <col customWidth="1" min="8" max="8" width="6.0"/>
    <col customWidth="1" min="9" max="9" width="8.57"/>
    <col customWidth="1" min="10" max="10" width="8.0"/>
    <col customWidth="1" min="11" max="11" width="7.0"/>
    <col customWidth="1" min="12" max="12" width="10.57"/>
    <col customWidth="1" min="13" max="13" width="16.71"/>
    <col customWidth="1" min="14" max="14" width="17.29"/>
    <col customWidth="1" min="15" max="15" width="8.57"/>
    <col customWidth="1" min="16" max="16" width="17.57"/>
    <col customWidth="1" min="17" max="17" width="9.71"/>
    <col customWidth="1" min="18" max="18" width="19.57"/>
    <col customWidth="1" min="19" max="19" width="10.71"/>
    <col customWidth="1" min="20" max="20" width="8.71"/>
    <col customWidth="1" min="21" max="21" width="12.57"/>
    <col customWidth="1" min="22" max="26" width="8.71"/>
  </cols>
  <sheetData>
    <row r="1" ht="15.0" customHeight="1">
      <c r="A1" s="2" t="s">
        <v>0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8" t="s">
        <v>7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2" t="s">
        <v>9</v>
      </c>
    </row>
    <row r="4" ht="18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>
      <c r="A5" s="20" t="s">
        <v>1</v>
      </c>
      <c r="B5" s="20" t="s">
        <v>3</v>
      </c>
      <c r="C5" s="24" t="s">
        <v>4</v>
      </c>
      <c r="D5" s="20" t="s">
        <v>5</v>
      </c>
      <c r="E5" s="26" t="s">
        <v>25</v>
      </c>
      <c r="F5" s="26" t="s">
        <v>28</v>
      </c>
      <c r="G5" s="26" t="s">
        <v>25</v>
      </c>
      <c r="H5" s="26" t="s">
        <v>30</v>
      </c>
      <c r="I5" s="29" t="s">
        <v>31</v>
      </c>
      <c r="J5" s="30"/>
      <c r="K5" s="20" t="s">
        <v>38</v>
      </c>
      <c r="L5" s="26" t="s">
        <v>41</v>
      </c>
      <c r="M5" s="26" t="s">
        <v>43</v>
      </c>
      <c r="N5" s="26" t="s">
        <v>45</v>
      </c>
      <c r="O5" s="20" t="s">
        <v>47</v>
      </c>
      <c r="P5" s="20" t="s">
        <v>48</v>
      </c>
    </row>
    <row r="6">
      <c r="A6" s="35"/>
      <c r="B6" s="35"/>
      <c r="C6" s="35"/>
      <c r="D6" s="35"/>
      <c r="E6" s="26" t="s">
        <v>51</v>
      </c>
      <c r="F6" s="26" t="s">
        <v>52</v>
      </c>
      <c r="G6" s="26" t="s">
        <v>52</v>
      </c>
      <c r="H6" s="26" t="s">
        <v>53</v>
      </c>
      <c r="I6" s="20" t="s">
        <v>55</v>
      </c>
      <c r="J6" s="26" t="s">
        <v>56</v>
      </c>
      <c r="K6" s="35"/>
      <c r="L6" s="26" t="s">
        <v>58</v>
      </c>
      <c r="M6" s="26" t="s">
        <v>59</v>
      </c>
      <c r="N6" s="26" t="s">
        <v>60</v>
      </c>
      <c r="O6" s="35"/>
      <c r="P6" s="35"/>
    </row>
    <row r="7" ht="27.0" customHeight="1">
      <c r="A7" s="41">
        <v>1.0</v>
      </c>
      <c r="B7" s="10" t="s">
        <v>10</v>
      </c>
      <c r="C7" s="44" t="s">
        <v>11</v>
      </c>
      <c r="D7" s="45" t="s">
        <v>12</v>
      </c>
      <c r="E7" s="47">
        <v>44835.0</v>
      </c>
      <c r="F7" s="15" t="s">
        <v>14</v>
      </c>
      <c r="G7" s="49">
        <v>42606.0</v>
      </c>
      <c r="H7" s="51" t="s">
        <v>79</v>
      </c>
      <c r="I7" s="48">
        <v>22.0</v>
      </c>
      <c r="J7" s="54">
        <v>0.0</v>
      </c>
      <c r="K7" s="41" t="s">
        <v>82</v>
      </c>
      <c r="L7" s="41" t="s">
        <v>83</v>
      </c>
      <c r="M7" s="15" t="s">
        <v>84</v>
      </c>
      <c r="N7" s="41" t="s">
        <v>85</v>
      </c>
      <c r="O7" s="41" t="s">
        <v>86</v>
      </c>
      <c r="P7" s="15" t="s">
        <v>87</v>
      </c>
    </row>
    <row r="8" ht="24.0" customHeight="1">
      <c r="A8" s="46">
        <v>2.0</v>
      </c>
      <c r="B8" s="17" t="s">
        <v>16</v>
      </c>
      <c r="C8" s="18" t="s">
        <v>17</v>
      </c>
      <c r="D8" s="48" t="s">
        <v>18</v>
      </c>
      <c r="E8" s="58">
        <v>45017.0</v>
      </c>
      <c r="F8" s="23" t="s">
        <v>20</v>
      </c>
      <c r="G8" s="58">
        <v>45017.0</v>
      </c>
      <c r="H8" s="59" t="s">
        <v>82</v>
      </c>
      <c r="I8" s="48">
        <v>13.0</v>
      </c>
      <c r="J8" s="54">
        <v>5.0</v>
      </c>
      <c r="K8" s="46" t="s">
        <v>82</v>
      </c>
      <c r="L8" s="46" t="s">
        <v>83</v>
      </c>
      <c r="M8" s="23" t="s">
        <v>97</v>
      </c>
      <c r="N8" s="46" t="s">
        <v>99</v>
      </c>
      <c r="O8" s="46" t="s">
        <v>86</v>
      </c>
      <c r="P8" s="23" t="s">
        <v>87</v>
      </c>
    </row>
    <row r="9" ht="24.0" customHeight="1">
      <c r="A9" s="41">
        <v>3.0</v>
      </c>
      <c r="B9" s="17" t="s">
        <v>88</v>
      </c>
      <c r="C9" s="60" t="s">
        <v>103</v>
      </c>
      <c r="D9" s="48" t="s">
        <v>26</v>
      </c>
      <c r="E9" s="58">
        <v>41548.0</v>
      </c>
      <c r="F9" s="23" t="s">
        <v>106</v>
      </c>
      <c r="G9" s="61">
        <v>41548.0</v>
      </c>
      <c r="H9" s="59" t="s">
        <v>82</v>
      </c>
      <c r="I9" s="48">
        <v>28.0</v>
      </c>
      <c r="J9" s="54">
        <v>8.0</v>
      </c>
      <c r="K9" s="46" t="s">
        <v>82</v>
      </c>
      <c r="L9" s="46" t="s">
        <v>109</v>
      </c>
      <c r="M9" s="23" t="s">
        <v>111</v>
      </c>
      <c r="N9" s="46" t="s">
        <v>113</v>
      </c>
      <c r="O9" s="46" t="s">
        <v>86</v>
      </c>
      <c r="P9" s="23" t="s">
        <v>87</v>
      </c>
    </row>
    <row r="10" ht="25.5" customHeight="1">
      <c r="A10" s="46">
        <v>4.0</v>
      </c>
      <c r="B10" s="17" t="s">
        <v>22</v>
      </c>
      <c r="C10" s="60" t="s">
        <v>24</v>
      </c>
      <c r="D10" s="48" t="s">
        <v>26</v>
      </c>
      <c r="E10" s="58">
        <v>42278.0</v>
      </c>
      <c r="F10" s="23" t="s">
        <v>123</v>
      </c>
      <c r="G10" s="61">
        <v>42278.0</v>
      </c>
      <c r="H10" s="59" t="s">
        <v>82</v>
      </c>
      <c r="I10" s="48">
        <v>25.0</v>
      </c>
      <c r="J10" s="54">
        <v>4.0</v>
      </c>
      <c r="K10" s="46" t="s">
        <v>82</v>
      </c>
      <c r="L10" s="46" t="s">
        <v>109</v>
      </c>
      <c r="M10" s="23" t="s">
        <v>125</v>
      </c>
      <c r="N10" s="46" t="s">
        <v>126</v>
      </c>
      <c r="O10" s="46" t="s">
        <v>86</v>
      </c>
      <c r="P10" s="23" t="s">
        <v>87</v>
      </c>
    </row>
    <row r="11" ht="27.0" customHeight="1">
      <c r="A11" s="41">
        <v>5.0</v>
      </c>
      <c r="B11" s="17" t="s">
        <v>32</v>
      </c>
      <c r="C11" s="60" t="s">
        <v>33</v>
      </c>
      <c r="D11" s="48" t="s">
        <v>26</v>
      </c>
      <c r="E11" s="58">
        <v>42644.0</v>
      </c>
      <c r="F11" s="23" t="s">
        <v>34</v>
      </c>
      <c r="G11" s="61">
        <v>42644.0</v>
      </c>
      <c r="H11" s="59" t="s">
        <v>82</v>
      </c>
      <c r="I11" s="48">
        <v>25.0</v>
      </c>
      <c r="J11" s="54">
        <v>4.0</v>
      </c>
      <c r="K11" s="46" t="s">
        <v>82</v>
      </c>
      <c r="L11" s="46" t="s">
        <v>109</v>
      </c>
      <c r="M11" s="23" t="s">
        <v>130</v>
      </c>
      <c r="N11" s="46" t="s">
        <v>131</v>
      </c>
      <c r="O11" s="46" t="s">
        <v>86</v>
      </c>
      <c r="P11" s="23" t="s">
        <v>87</v>
      </c>
    </row>
    <row r="12" ht="27.75" customHeight="1">
      <c r="A12" s="46">
        <v>6.0</v>
      </c>
      <c r="B12" s="17" t="s">
        <v>35</v>
      </c>
      <c r="C12" s="60" t="s">
        <v>36</v>
      </c>
      <c r="D12" s="48" t="s">
        <v>26</v>
      </c>
      <c r="E12" s="58">
        <v>44470.0</v>
      </c>
      <c r="F12" s="23" t="s">
        <v>37</v>
      </c>
      <c r="G12" s="61">
        <v>42712.0</v>
      </c>
      <c r="H12" s="59" t="s">
        <v>82</v>
      </c>
      <c r="I12" s="48">
        <v>25.0</v>
      </c>
      <c r="J12" s="54">
        <v>4.0</v>
      </c>
      <c r="K12" s="46" t="s">
        <v>82</v>
      </c>
      <c r="L12" s="46" t="s">
        <v>134</v>
      </c>
      <c r="M12" s="23" t="s">
        <v>135</v>
      </c>
      <c r="N12" s="46" t="s">
        <v>136</v>
      </c>
      <c r="O12" s="46" t="s">
        <v>86</v>
      </c>
      <c r="P12" s="23" t="s">
        <v>87</v>
      </c>
    </row>
    <row r="13" ht="26.25" customHeight="1">
      <c r="A13" s="41">
        <v>7.0</v>
      </c>
      <c r="B13" s="17" t="s">
        <v>39</v>
      </c>
      <c r="C13" s="60" t="s">
        <v>40</v>
      </c>
      <c r="D13" s="48" t="s">
        <v>42</v>
      </c>
      <c r="E13" s="58">
        <v>45627.0</v>
      </c>
      <c r="F13" s="23" t="s">
        <v>46</v>
      </c>
      <c r="G13" s="61">
        <v>45544.0</v>
      </c>
      <c r="H13" s="59" t="s">
        <v>82</v>
      </c>
      <c r="I13" s="48">
        <v>15.0</v>
      </c>
      <c r="J13" s="54">
        <v>11.0</v>
      </c>
      <c r="K13" s="46" t="s">
        <v>82</v>
      </c>
      <c r="L13" s="46" t="s">
        <v>83</v>
      </c>
      <c r="M13" s="23" t="s">
        <v>141</v>
      </c>
      <c r="N13" s="46" t="s">
        <v>142</v>
      </c>
      <c r="O13" s="46" t="s">
        <v>86</v>
      </c>
      <c r="P13" s="23" t="s">
        <v>87</v>
      </c>
      <c r="Q13" s="5"/>
      <c r="R13" s="5"/>
      <c r="S13" s="5"/>
      <c r="T13" s="5"/>
      <c r="U13" s="5"/>
    </row>
    <row r="14" ht="33.75" customHeight="1">
      <c r="A14" s="46">
        <v>8.0</v>
      </c>
      <c r="B14" s="17" t="s">
        <v>49</v>
      </c>
      <c r="C14" s="60" t="s">
        <v>50</v>
      </c>
      <c r="D14" s="48" t="s">
        <v>116</v>
      </c>
      <c r="E14" s="58">
        <v>44470.0</v>
      </c>
      <c r="F14" s="23" t="s">
        <v>54</v>
      </c>
      <c r="G14" s="46" t="s">
        <v>82</v>
      </c>
      <c r="H14" s="59" t="s">
        <v>82</v>
      </c>
      <c r="I14" s="48">
        <v>18.0</v>
      </c>
      <c r="J14" s="54">
        <v>3.0</v>
      </c>
      <c r="K14" s="46" t="s">
        <v>82</v>
      </c>
      <c r="L14" s="46" t="s">
        <v>109</v>
      </c>
      <c r="M14" s="23" t="s">
        <v>145</v>
      </c>
      <c r="N14" s="46" t="s">
        <v>147</v>
      </c>
      <c r="O14" s="46" t="s">
        <v>86</v>
      </c>
      <c r="P14" s="23" t="s">
        <v>87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9.25" customHeight="1">
      <c r="A15" s="46">
        <v>9.0</v>
      </c>
      <c r="B15" s="17" t="s">
        <v>61</v>
      </c>
      <c r="C15" s="60" t="s">
        <v>62</v>
      </c>
      <c r="D15" s="48" t="s">
        <v>63</v>
      </c>
      <c r="E15" s="58">
        <v>44652.0</v>
      </c>
      <c r="F15" s="23" t="s">
        <v>65</v>
      </c>
      <c r="G15" s="61">
        <v>44652.0</v>
      </c>
      <c r="H15" s="59" t="s">
        <v>82</v>
      </c>
      <c r="I15" s="48">
        <v>10.0</v>
      </c>
      <c r="J15" s="54">
        <v>5.0</v>
      </c>
      <c r="K15" s="46" t="s">
        <v>82</v>
      </c>
      <c r="L15" s="46" t="s">
        <v>109</v>
      </c>
      <c r="M15" s="23" t="s">
        <v>155</v>
      </c>
      <c r="N15" s="46" t="s">
        <v>156</v>
      </c>
      <c r="O15" s="46" t="s">
        <v>86</v>
      </c>
      <c r="P15" s="23" t="s">
        <v>87</v>
      </c>
      <c r="Q15" s="5"/>
      <c r="R15" s="5"/>
      <c r="S15" s="5"/>
      <c r="T15" s="5"/>
      <c r="U15" s="5"/>
    </row>
    <row r="16" ht="24.75" customHeight="1">
      <c r="A16" s="41">
        <v>10.0</v>
      </c>
      <c r="B16" s="17" t="s">
        <v>66</v>
      </c>
      <c r="C16" s="60" t="s">
        <v>67</v>
      </c>
      <c r="D16" s="48" t="s">
        <v>160</v>
      </c>
      <c r="E16" s="58">
        <v>44621.0</v>
      </c>
      <c r="F16" s="23" t="s">
        <v>68</v>
      </c>
      <c r="G16" s="46" t="s">
        <v>161</v>
      </c>
      <c r="H16" s="59" t="s">
        <v>161</v>
      </c>
      <c r="I16" s="48" t="s">
        <v>161</v>
      </c>
      <c r="J16" s="54">
        <v>3.0</v>
      </c>
      <c r="K16" s="46" t="s">
        <v>161</v>
      </c>
      <c r="L16" s="46" t="s">
        <v>83</v>
      </c>
      <c r="M16" s="23" t="s">
        <v>164</v>
      </c>
      <c r="N16" s="46" t="s">
        <v>165</v>
      </c>
      <c r="O16" s="46" t="s">
        <v>86</v>
      </c>
      <c r="P16" s="23" t="s">
        <v>87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46">
        <v>11.0</v>
      </c>
      <c r="B17" s="17" t="s">
        <v>69</v>
      </c>
      <c r="C17" s="60" t="s">
        <v>70</v>
      </c>
      <c r="D17" s="48" t="s">
        <v>140</v>
      </c>
      <c r="E17" s="58">
        <v>44470.0</v>
      </c>
      <c r="F17" s="23" t="s">
        <v>71</v>
      </c>
      <c r="G17" s="61">
        <v>44279.0</v>
      </c>
      <c r="H17" s="59" t="s">
        <v>82</v>
      </c>
      <c r="I17" s="48">
        <v>22.0</v>
      </c>
      <c r="J17" s="54">
        <v>8.0</v>
      </c>
      <c r="K17" s="46" t="s">
        <v>82</v>
      </c>
      <c r="L17" s="46" t="s">
        <v>109</v>
      </c>
      <c r="M17" s="23" t="s">
        <v>174</v>
      </c>
      <c r="N17" s="46" t="s">
        <v>175</v>
      </c>
      <c r="O17" s="46" t="s">
        <v>86</v>
      </c>
      <c r="P17" s="23" t="s">
        <v>87</v>
      </c>
      <c r="Q17" s="5"/>
      <c r="R17" s="5"/>
      <c r="S17" s="5"/>
      <c r="T17" s="5"/>
      <c r="U17" s="5"/>
    </row>
    <row r="18" ht="22.5" customHeight="1">
      <c r="A18" s="41">
        <v>12.0</v>
      </c>
      <c r="B18" s="17" t="s">
        <v>72</v>
      </c>
      <c r="C18" s="60" t="s">
        <v>73</v>
      </c>
      <c r="D18" s="48" t="s">
        <v>140</v>
      </c>
      <c r="E18" s="58">
        <v>44470.0</v>
      </c>
      <c r="F18" s="23" t="s">
        <v>71</v>
      </c>
      <c r="G18" s="61">
        <v>44279.0</v>
      </c>
      <c r="H18" s="59" t="s">
        <v>82</v>
      </c>
      <c r="I18" s="48">
        <v>22.0</v>
      </c>
      <c r="J18" s="54">
        <v>8.0</v>
      </c>
      <c r="K18" s="46" t="s">
        <v>82</v>
      </c>
      <c r="L18" s="46" t="s">
        <v>109</v>
      </c>
      <c r="M18" s="23" t="s">
        <v>177</v>
      </c>
      <c r="N18" s="46" t="s">
        <v>179</v>
      </c>
      <c r="O18" s="46" t="s">
        <v>86</v>
      </c>
      <c r="P18" s="23" t="s">
        <v>87</v>
      </c>
      <c r="Q18" s="5"/>
      <c r="R18" s="5"/>
      <c r="S18" s="5"/>
      <c r="T18" s="5"/>
      <c r="U18" s="5"/>
    </row>
    <row r="19" ht="24.75" customHeight="1">
      <c r="A19" s="46">
        <v>13.0</v>
      </c>
      <c r="B19" s="17" t="s">
        <v>75</v>
      </c>
      <c r="C19" s="60" t="s">
        <v>76</v>
      </c>
      <c r="D19" s="48" t="s">
        <v>140</v>
      </c>
      <c r="E19" s="58">
        <v>44470.0</v>
      </c>
      <c r="F19" s="23" t="s">
        <v>71</v>
      </c>
      <c r="G19" s="61">
        <v>44279.0</v>
      </c>
      <c r="H19" s="59" t="s">
        <v>82</v>
      </c>
      <c r="I19" s="48">
        <v>23.0</v>
      </c>
      <c r="J19" s="54">
        <v>8.0</v>
      </c>
      <c r="K19" s="46" t="s">
        <v>82</v>
      </c>
      <c r="L19" s="46" t="s">
        <v>109</v>
      </c>
      <c r="M19" s="23" t="s">
        <v>177</v>
      </c>
      <c r="N19" s="46" t="s">
        <v>185</v>
      </c>
      <c r="O19" s="46" t="s">
        <v>86</v>
      </c>
      <c r="P19" s="23" t="s">
        <v>87</v>
      </c>
      <c r="Q19" s="5"/>
      <c r="R19" s="5"/>
      <c r="S19" s="5"/>
      <c r="T19" s="5"/>
      <c r="U19" s="5"/>
    </row>
    <row r="20" ht="22.5" customHeight="1">
      <c r="A20" s="41">
        <v>14.0</v>
      </c>
      <c r="B20" s="17" t="s">
        <v>77</v>
      </c>
      <c r="C20" s="60" t="s">
        <v>78</v>
      </c>
      <c r="D20" s="48" t="s">
        <v>140</v>
      </c>
      <c r="E20" s="58">
        <v>44470.0</v>
      </c>
      <c r="F20" s="23" t="s">
        <v>71</v>
      </c>
      <c r="G20" s="61">
        <v>44279.0</v>
      </c>
      <c r="H20" s="59" t="s">
        <v>82</v>
      </c>
      <c r="I20" s="48">
        <v>23.0</v>
      </c>
      <c r="J20" s="54">
        <v>8.0</v>
      </c>
      <c r="K20" s="46" t="s">
        <v>82</v>
      </c>
      <c r="L20" s="46" t="s">
        <v>109</v>
      </c>
      <c r="M20" s="23" t="s">
        <v>192</v>
      </c>
      <c r="N20" s="46" t="s">
        <v>194</v>
      </c>
      <c r="O20" s="46" t="s">
        <v>86</v>
      </c>
      <c r="P20" s="23" t="s">
        <v>87</v>
      </c>
      <c r="Q20" s="5"/>
      <c r="R20" s="5"/>
      <c r="S20" s="5"/>
      <c r="T20" s="5"/>
      <c r="U20" s="5"/>
    </row>
    <row r="21" ht="33.75" customHeight="1">
      <c r="A21" s="46">
        <v>15.0</v>
      </c>
      <c r="B21" s="52" t="s">
        <v>80</v>
      </c>
      <c r="C21" s="83" t="s">
        <v>81</v>
      </c>
      <c r="D21" s="84" t="s">
        <v>157</v>
      </c>
      <c r="E21" s="85">
        <v>44835.0</v>
      </c>
      <c r="F21" s="86" t="s">
        <v>205</v>
      </c>
      <c r="G21" s="87" t="s">
        <v>82</v>
      </c>
      <c r="H21" s="89" t="s">
        <v>82</v>
      </c>
      <c r="I21" s="84">
        <v>22.0</v>
      </c>
      <c r="J21" s="90">
        <v>2.0</v>
      </c>
      <c r="K21" s="87" t="s">
        <v>82</v>
      </c>
      <c r="L21" s="87" t="s">
        <v>109</v>
      </c>
      <c r="M21" s="86" t="s">
        <v>192</v>
      </c>
      <c r="N21" s="87" t="s">
        <v>213</v>
      </c>
      <c r="O21" s="87" t="s">
        <v>214</v>
      </c>
      <c r="P21" s="86" t="s">
        <v>87</v>
      </c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33.75" customHeight="1">
      <c r="A22" s="41">
        <v>16.0</v>
      </c>
      <c r="B22" s="17" t="s">
        <v>89</v>
      </c>
      <c r="C22" s="60" t="s">
        <v>90</v>
      </c>
      <c r="D22" s="48" t="s">
        <v>140</v>
      </c>
      <c r="E22" s="58">
        <v>44835.0</v>
      </c>
      <c r="F22" s="23" t="s">
        <v>217</v>
      </c>
      <c r="G22" s="46" t="s">
        <v>82</v>
      </c>
      <c r="H22" s="59" t="s">
        <v>82</v>
      </c>
      <c r="I22" s="46">
        <v>22.0</v>
      </c>
      <c r="J22" s="54">
        <v>2.0</v>
      </c>
      <c r="K22" s="46" t="s">
        <v>82</v>
      </c>
      <c r="L22" s="46" t="s">
        <v>109</v>
      </c>
      <c r="M22" s="23" t="s">
        <v>192</v>
      </c>
      <c r="N22" s="46" t="s">
        <v>218</v>
      </c>
      <c r="O22" s="46" t="s">
        <v>86</v>
      </c>
      <c r="P22" s="23" t="s">
        <v>87</v>
      </c>
      <c r="Q22" s="5"/>
      <c r="R22" s="5"/>
      <c r="S22" s="5"/>
      <c r="T22" s="5"/>
      <c r="U22" s="5"/>
    </row>
    <row r="23" ht="33.75" customHeight="1">
      <c r="A23" s="46">
        <v>17.0</v>
      </c>
      <c r="B23" s="17" t="s">
        <v>91</v>
      </c>
      <c r="C23" s="60" t="s">
        <v>92</v>
      </c>
      <c r="D23" s="48" t="s">
        <v>63</v>
      </c>
      <c r="E23" s="58">
        <v>45200.0</v>
      </c>
      <c r="F23" s="23" t="s">
        <v>93</v>
      </c>
      <c r="G23" s="61">
        <v>43922.0</v>
      </c>
      <c r="H23" s="59" t="s">
        <v>161</v>
      </c>
      <c r="I23" s="46">
        <v>10.0</v>
      </c>
      <c r="J23" s="54">
        <v>4.0</v>
      </c>
      <c r="K23" s="46" t="s">
        <v>161</v>
      </c>
      <c r="L23" s="46" t="s">
        <v>109</v>
      </c>
      <c r="M23" s="23" t="s">
        <v>219</v>
      </c>
      <c r="N23" s="46" t="s">
        <v>220</v>
      </c>
      <c r="O23" s="46" t="s">
        <v>86</v>
      </c>
      <c r="P23" s="23" t="s">
        <v>87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75" customHeight="1">
      <c r="A24" s="46">
        <v>18.0</v>
      </c>
      <c r="B24" s="17" t="s">
        <v>95</v>
      </c>
      <c r="C24" s="60" t="s">
        <v>96</v>
      </c>
      <c r="D24" s="48" t="s">
        <v>98</v>
      </c>
      <c r="E24" s="58">
        <v>44652.0</v>
      </c>
      <c r="F24" s="23" t="s">
        <v>221</v>
      </c>
      <c r="G24" s="46"/>
      <c r="H24" s="59" t="s">
        <v>82</v>
      </c>
      <c r="I24" s="46">
        <v>17.0</v>
      </c>
      <c r="J24" s="54">
        <v>8.0</v>
      </c>
      <c r="K24" s="46" t="s">
        <v>82</v>
      </c>
      <c r="L24" s="46" t="s">
        <v>222</v>
      </c>
      <c r="M24" s="23" t="s">
        <v>223</v>
      </c>
      <c r="N24" s="61" t="s">
        <v>224</v>
      </c>
      <c r="O24" s="46" t="s">
        <v>86</v>
      </c>
      <c r="P24" s="23" t="s">
        <v>87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75" customHeight="1">
      <c r="A25" s="41">
        <v>19.0</v>
      </c>
      <c r="B25" s="17" t="s">
        <v>101</v>
      </c>
      <c r="C25" s="60" t="s">
        <v>102</v>
      </c>
      <c r="D25" s="48" t="s">
        <v>187</v>
      </c>
      <c r="E25" s="58">
        <v>44835.0</v>
      </c>
      <c r="F25" s="23" t="s">
        <v>105</v>
      </c>
      <c r="G25" s="46" t="s">
        <v>82</v>
      </c>
      <c r="H25" s="59" t="s">
        <v>82</v>
      </c>
      <c r="I25" s="46">
        <v>6.0</v>
      </c>
      <c r="J25" s="54">
        <v>9.0</v>
      </c>
      <c r="K25" s="46" t="s">
        <v>82</v>
      </c>
      <c r="L25" s="46" t="s">
        <v>225</v>
      </c>
      <c r="M25" s="23" t="s">
        <v>226</v>
      </c>
      <c r="N25" s="46" t="s">
        <v>227</v>
      </c>
      <c r="O25" s="46" t="s">
        <v>86</v>
      </c>
      <c r="P25" s="23" t="s">
        <v>87</v>
      </c>
      <c r="Q25" s="5"/>
      <c r="R25" s="5"/>
      <c r="S25" s="5"/>
      <c r="T25" s="5"/>
      <c r="U25" s="5"/>
    </row>
    <row r="26" ht="33.75" customHeight="1">
      <c r="A26" s="46">
        <v>20.0</v>
      </c>
      <c r="B26" s="17" t="s">
        <v>107</v>
      </c>
      <c r="C26" s="60" t="s">
        <v>108</v>
      </c>
      <c r="D26" s="48" t="s">
        <v>228</v>
      </c>
      <c r="E26" s="58">
        <v>44166.0</v>
      </c>
      <c r="F26" s="23" t="s">
        <v>105</v>
      </c>
      <c r="G26" s="61">
        <v>44531.0</v>
      </c>
      <c r="H26" s="59" t="s">
        <v>82</v>
      </c>
      <c r="I26" s="46">
        <v>4.0</v>
      </c>
      <c r="J26" s="54">
        <v>6.0</v>
      </c>
      <c r="K26" s="46" t="s">
        <v>82</v>
      </c>
      <c r="L26" s="46" t="s">
        <v>109</v>
      </c>
      <c r="M26" s="23" t="s">
        <v>229</v>
      </c>
      <c r="N26" s="61" t="s">
        <v>230</v>
      </c>
      <c r="O26" s="46" t="s">
        <v>86</v>
      </c>
      <c r="P26" s="23" t="s">
        <v>87</v>
      </c>
      <c r="Q26" s="5"/>
      <c r="R26" s="5"/>
      <c r="S26" s="5"/>
      <c r="T26" s="5"/>
      <c r="U26" s="5"/>
    </row>
    <row r="27" ht="24.75" customHeight="1">
      <c r="A27" s="41">
        <v>21.0</v>
      </c>
      <c r="B27" s="17" t="s">
        <v>110</v>
      </c>
      <c r="C27" s="60" t="s">
        <v>112</v>
      </c>
      <c r="D27" s="48" t="s">
        <v>228</v>
      </c>
      <c r="E27" s="58">
        <v>44166.0</v>
      </c>
      <c r="F27" s="23" t="s">
        <v>114</v>
      </c>
      <c r="G27" s="61">
        <v>44531.0</v>
      </c>
      <c r="H27" s="59" t="s">
        <v>82</v>
      </c>
      <c r="I27" s="46">
        <v>4.0</v>
      </c>
      <c r="J27" s="54">
        <v>6.0</v>
      </c>
      <c r="K27" s="46" t="s">
        <v>82</v>
      </c>
      <c r="L27" s="46" t="s">
        <v>109</v>
      </c>
      <c r="M27" s="23" t="s">
        <v>233</v>
      </c>
      <c r="N27" s="61" t="s">
        <v>234</v>
      </c>
      <c r="O27" s="46" t="s">
        <v>86</v>
      </c>
      <c r="P27" s="23" t="s">
        <v>87</v>
      </c>
      <c r="Q27" s="5"/>
      <c r="R27" s="5"/>
      <c r="S27" s="5"/>
      <c r="T27" s="5"/>
      <c r="U27" s="5"/>
    </row>
    <row r="28" ht="33.75" customHeight="1">
      <c r="A28" s="46">
        <v>22.0</v>
      </c>
      <c r="B28" s="10" t="s">
        <v>115</v>
      </c>
      <c r="C28" s="44" t="s">
        <v>117</v>
      </c>
      <c r="D28" s="45" t="s">
        <v>236</v>
      </c>
      <c r="E28" s="47">
        <v>44562.0</v>
      </c>
      <c r="F28" s="15" t="s">
        <v>120</v>
      </c>
      <c r="G28" s="49">
        <v>44562.0</v>
      </c>
      <c r="H28" s="51"/>
      <c r="I28" s="46" t="s">
        <v>161</v>
      </c>
      <c r="J28" s="102">
        <v>5.0</v>
      </c>
      <c r="K28" s="41" t="s">
        <v>161</v>
      </c>
      <c r="L28" s="41" t="s">
        <v>109</v>
      </c>
      <c r="M28" s="15" t="s">
        <v>120</v>
      </c>
      <c r="N28" s="49" t="s">
        <v>239</v>
      </c>
      <c r="O28" s="46" t="s">
        <v>86</v>
      </c>
      <c r="P28" s="1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3.75" customHeight="1">
      <c r="A29" s="41">
        <v>23.0</v>
      </c>
      <c r="B29" s="17" t="s">
        <v>121</v>
      </c>
      <c r="C29" s="62" t="s">
        <v>122</v>
      </c>
      <c r="D29" s="48" t="s">
        <v>236</v>
      </c>
      <c r="E29" s="48" t="s">
        <v>82</v>
      </c>
      <c r="F29" s="15" t="s">
        <v>120</v>
      </c>
      <c r="G29" s="106">
        <v>45017.0</v>
      </c>
      <c r="H29" s="107" t="s">
        <v>82</v>
      </c>
      <c r="I29" s="48" t="s">
        <v>82</v>
      </c>
      <c r="J29" s="110" t="s">
        <v>82</v>
      </c>
      <c r="K29" s="48" t="s">
        <v>82</v>
      </c>
      <c r="L29" s="48" t="s">
        <v>246</v>
      </c>
      <c r="M29" s="76" t="s">
        <v>247</v>
      </c>
      <c r="N29" s="46" t="s">
        <v>248</v>
      </c>
      <c r="O29" s="46" t="s">
        <v>86</v>
      </c>
      <c r="P29" s="112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3.25" customHeight="1">
      <c r="A30" s="41">
        <v>24.0</v>
      </c>
      <c r="B30" s="64" t="s">
        <v>127</v>
      </c>
      <c r="C30" s="114" t="s">
        <v>128</v>
      </c>
      <c r="D30" s="45" t="s">
        <v>82</v>
      </c>
      <c r="E30" s="45" t="s">
        <v>82</v>
      </c>
      <c r="F30" s="115" t="s">
        <v>249</v>
      </c>
      <c r="G30" s="117">
        <v>42370.0</v>
      </c>
      <c r="H30" s="118" t="s">
        <v>82</v>
      </c>
      <c r="I30" s="48" t="s">
        <v>82</v>
      </c>
      <c r="J30" s="119" t="s">
        <v>82</v>
      </c>
      <c r="K30" s="45" t="s">
        <v>82</v>
      </c>
      <c r="L30" s="45" t="s">
        <v>250</v>
      </c>
      <c r="M30" s="115" t="s">
        <v>251</v>
      </c>
      <c r="N30" s="117" t="s">
        <v>252</v>
      </c>
      <c r="O30" s="41" t="s">
        <v>86</v>
      </c>
      <c r="P30" s="45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26.25" customHeight="1">
      <c r="A31" s="46">
        <v>25.0</v>
      </c>
      <c r="B31" s="17" t="s">
        <v>132</v>
      </c>
      <c r="C31" s="69" t="s">
        <v>133</v>
      </c>
      <c r="D31" s="48" t="s">
        <v>82</v>
      </c>
      <c r="E31" s="48" t="s">
        <v>82</v>
      </c>
      <c r="F31" s="76" t="s">
        <v>254</v>
      </c>
      <c r="G31" s="120">
        <v>42758.0</v>
      </c>
      <c r="H31" s="107" t="s">
        <v>82</v>
      </c>
      <c r="I31" s="48" t="s">
        <v>82</v>
      </c>
      <c r="J31" s="110" t="s">
        <v>82</v>
      </c>
      <c r="K31" s="48" t="s">
        <v>82</v>
      </c>
      <c r="L31" s="48" t="s">
        <v>255</v>
      </c>
      <c r="M31" s="76" t="s">
        <v>256</v>
      </c>
      <c r="N31" s="120" t="s">
        <v>257</v>
      </c>
      <c r="O31" s="46" t="s">
        <v>86</v>
      </c>
      <c r="P31" s="48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22.5" customHeight="1">
      <c r="A32" s="41">
        <v>26.0</v>
      </c>
      <c r="B32" s="17" t="s">
        <v>138</v>
      </c>
      <c r="C32" s="69" t="s">
        <v>139</v>
      </c>
      <c r="D32" s="48" t="s">
        <v>82</v>
      </c>
      <c r="E32" s="48" t="s">
        <v>82</v>
      </c>
      <c r="F32" s="76" t="s">
        <v>249</v>
      </c>
      <c r="G32" s="120">
        <v>43497.0</v>
      </c>
      <c r="H32" s="107" t="s">
        <v>82</v>
      </c>
      <c r="I32" s="48" t="s">
        <v>82</v>
      </c>
      <c r="J32" s="110" t="s">
        <v>82</v>
      </c>
      <c r="K32" s="48" t="s">
        <v>82</v>
      </c>
      <c r="L32" s="48" t="s">
        <v>250</v>
      </c>
      <c r="M32" s="76" t="s">
        <v>258</v>
      </c>
      <c r="N32" s="120" t="s">
        <v>259</v>
      </c>
      <c r="O32" s="46" t="s">
        <v>86</v>
      </c>
      <c r="P32" s="48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20.25" customHeight="1">
      <c r="A33" s="46">
        <v>27.0</v>
      </c>
      <c r="B33" s="17" t="s">
        <v>143</v>
      </c>
      <c r="C33" s="25" t="s">
        <v>144</v>
      </c>
      <c r="D33" s="48" t="s">
        <v>82</v>
      </c>
      <c r="E33" s="48" t="s">
        <v>82</v>
      </c>
      <c r="F33" s="76" t="s">
        <v>249</v>
      </c>
      <c r="G33" s="120">
        <v>42410.0</v>
      </c>
      <c r="H33" s="107" t="s">
        <v>82</v>
      </c>
      <c r="I33" s="48" t="s">
        <v>82</v>
      </c>
      <c r="J33" s="110" t="s">
        <v>82</v>
      </c>
      <c r="K33" s="48" t="s">
        <v>82</v>
      </c>
      <c r="L33" s="48" t="s">
        <v>246</v>
      </c>
      <c r="M33" s="76" t="s">
        <v>260</v>
      </c>
      <c r="N33" s="120" t="s">
        <v>261</v>
      </c>
      <c r="O33" s="46" t="s">
        <v>86</v>
      </c>
      <c r="P33" s="48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20.25" customHeight="1">
      <c r="A34" s="41">
        <v>28.0</v>
      </c>
      <c r="B34" s="75" t="s">
        <v>262</v>
      </c>
      <c r="C34" s="122" t="s">
        <v>263</v>
      </c>
      <c r="D34" s="48" t="s">
        <v>82</v>
      </c>
      <c r="E34" s="48" t="s">
        <v>82</v>
      </c>
      <c r="F34" s="76" t="s">
        <v>264</v>
      </c>
      <c r="G34" s="120">
        <v>43497.0</v>
      </c>
      <c r="H34" s="107" t="s">
        <v>82</v>
      </c>
      <c r="I34" s="48" t="s">
        <v>82</v>
      </c>
      <c r="J34" s="110" t="s">
        <v>82</v>
      </c>
      <c r="K34" s="48" t="s">
        <v>82</v>
      </c>
      <c r="L34" s="48" t="s">
        <v>246</v>
      </c>
      <c r="M34" s="76" t="s">
        <v>265</v>
      </c>
      <c r="N34" s="120" t="s">
        <v>266</v>
      </c>
      <c r="O34" s="46" t="s">
        <v>86</v>
      </c>
      <c r="P34" s="48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30.0" customHeight="1">
      <c r="A35" s="46">
        <v>29.0</v>
      </c>
      <c r="B35" s="75" t="s">
        <v>146</v>
      </c>
      <c r="C35" s="123" t="s">
        <v>148</v>
      </c>
      <c r="D35" s="48" t="s">
        <v>82</v>
      </c>
      <c r="E35" s="48" t="s">
        <v>82</v>
      </c>
      <c r="F35" s="76" t="s">
        <v>267</v>
      </c>
      <c r="G35" s="120">
        <v>35643.0</v>
      </c>
      <c r="H35" s="107" t="s">
        <v>82</v>
      </c>
      <c r="I35" s="48" t="s">
        <v>82</v>
      </c>
      <c r="J35" s="110" t="s">
        <v>82</v>
      </c>
      <c r="K35" s="48" t="s">
        <v>82</v>
      </c>
      <c r="L35" s="48" t="s">
        <v>268</v>
      </c>
      <c r="M35" s="46" t="s">
        <v>269</v>
      </c>
      <c r="N35" s="120" t="s">
        <v>270</v>
      </c>
      <c r="O35" s="46" t="s">
        <v>86</v>
      </c>
      <c r="P35" s="48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22.5" customHeight="1">
      <c r="A36" s="41">
        <v>30.0</v>
      </c>
      <c r="B36" s="17" t="s">
        <v>151</v>
      </c>
      <c r="C36" s="69" t="s">
        <v>152</v>
      </c>
      <c r="D36" s="48" t="s">
        <v>82</v>
      </c>
      <c r="E36" s="48" t="s">
        <v>82</v>
      </c>
      <c r="F36" s="76" t="s">
        <v>154</v>
      </c>
      <c r="G36" s="120">
        <v>43101.0</v>
      </c>
      <c r="H36" s="107" t="s">
        <v>82</v>
      </c>
      <c r="I36" s="48" t="s">
        <v>82</v>
      </c>
      <c r="J36" s="110" t="s">
        <v>82</v>
      </c>
      <c r="K36" s="48" t="s">
        <v>82</v>
      </c>
      <c r="L36" s="48" t="s">
        <v>271</v>
      </c>
      <c r="M36" s="46" t="s">
        <v>272</v>
      </c>
      <c r="N36" s="120" t="s">
        <v>273</v>
      </c>
      <c r="O36" s="46" t="s">
        <v>86</v>
      </c>
      <c r="P36" s="48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24.0" customHeight="1">
      <c r="A37" s="46">
        <v>31.0</v>
      </c>
      <c r="B37" s="17" t="s">
        <v>158</v>
      </c>
      <c r="C37" s="69" t="s">
        <v>159</v>
      </c>
      <c r="D37" s="48" t="s">
        <v>82</v>
      </c>
      <c r="E37" s="48" t="s">
        <v>82</v>
      </c>
      <c r="F37" s="76" t="s">
        <v>154</v>
      </c>
      <c r="G37" s="124" t="s">
        <v>274</v>
      </c>
      <c r="H37" s="107" t="s">
        <v>82</v>
      </c>
      <c r="I37" s="48" t="s">
        <v>82</v>
      </c>
      <c r="J37" s="110" t="s">
        <v>82</v>
      </c>
      <c r="K37" s="48" t="s">
        <v>82</v>
      </c>
      <c r="L37" s="48" t="s">
        <v>275</v>
      </c>
      <c r="M37" s="46" t="s">
        <v>276</v>
      </c>
      <c r="N37" s="120" t="s">
        <v>277</v>
      </c>
      <c r="O37" s="46" t="s">
        <v>86</v>
      </c>
      <c r="P37" s="48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33.75" customHeight="1">
      <c r="A38" s="41">
        <v>32.0</v>
      </c>
      <c r="B38" s="17" t="s">
        <v>278</v>
      </c>
      <c r="C38" s="25" t="s">
        <v>279</v>
      </c>
      <c r="D38" s="48" t="s">
        <v>82</v>
      </c>
      <c r="E38" s="48" t="s">
        <v>82</v>
      </c>
      <c r="F38" s="76" t="s">
        <v>280</v>
      </c>
      <c r="G38" s="120">
        <v>42491.0</v>
      </c>
      <c r="H38" s="107" t="s">
        <v>82</v>
      </c>
      <c r="I38" s="48" t="s">
        <v>82</v>
      </c>
      <c r="J38" s="110" t="s">
        <v>82</v>
      </c>
      <c r="K38" s="48" t="s">
        <v>82</v>
      </c>
      <c r="L38" s="48" t="s">
        <v>83</v>
      </c>
      <c r="M38" s="23" t="s">
        <v>281</v>
      </c>
      <c r="N38" s="120" t="s">
        <v>282</v>
      </c>
      <c r="O38" s="46" t="s">
        <v>86</v>
      </c>
      <c r="P38" s="48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33.75" customHeight="1">
      <c r="A39" s="46">
        <v>33.0</v>
      </c>
      <c r="B39" s="17" t="s">
        <v>162</v>
      </c>
      <c r="C39" s="69" t="s">
        <v>163</v>
      </c>
      <c r="D39" s="48" t="s">
        <v>82</v>
      </c>
      <c r="E39" s="48" t="s">
        <v>82</v>
      </c>
      <c r="F39" s="76" t="s">
        <v>283</v>
      </c>
      <c r="G39" s="120">
        <v>43222.0</v>
      </c>
      <c r="H39" s="107" t="s">
        <v>82</v>
      </c>
      <c r="I39" s="48" t="s">
        <v>82</v>
      </c>
      <c r="J39" s="110" t="s">
        <v>82</v>
      </c>
      <c r="K39" s="48" t="s">
        <v>82</v>
      </c>
      <c r="L39" s="48" t="s">
        <v>284</v>
      </c>
      <c r="M39" s="23" t="s">
        <v>285</v>
      </c>
      <c r="N39" s="120" t="s">
        <v>286</v>
      </c>
      <c r="O39" s="46" t="s">
        <v>86</v>
      </c>
      <c r="P39" s="48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30.75" customHeight="1">
      <c r="A40" s="46">
        <v>34.0</v>
      </c>
      <c r="B40" s="17" t="s">
        <v>166</v>
      </c>
      <c r="C40" s="62" t="s">
        <v>167</v>
      </c>
      <c r="D40" s="48" t="s">
        <v>82</v>
      </c>
      <c r="E40" s="48" t="s">
        <v>82</v>
      </c>
      <c r="F40" s="23" t="s">
        <v>287</v>
      </c>
      <c r="G40" s="106">
        <v>43832.0</v>
      </c>
      <c r="H40" s="107" t="s">
        <v>82</v>
      </c>
      <c r="I40" s="48" t="s">
        <v>82</v>
      </c>
      <c r="J40" s="110" t="s">
        <v>82</v>
      </c>
      <c r="K40" s="48" t="s">
        <v>82</v>
      </c>
      <c r="L40" s="48" t="s">
        <v>246</v>
      </c>
      <c r="M40" s="17" t="s">
        <v>288</v>
      </c>
      <c r="N40" s="17" t="s">
        <v>288</v>
      </c>
      <c r="O40" s="46" t="s">
        <v>86</v>
      </c>
      <c r="P40" s="112"/>
    </row>
    <row r="41" ht="23.25" customHeight="1">
      <c r="A41" s="46">
        <v>35.0</v>
      </c>
      <c r="B41" s="21" t="s">
        <v>169</v>
      </c>
      <c r="C41" s="62" t="s">
        <v>170</v>
      </c>
      <c r="D41" s="48" t="s">
        <v>82</v>
      </c>
      <c r="E41" s="48" t="s">
        <v>82</v>
      </c>
      <c r="F41" s="23" t="s">
        <v>289</v>
      </c>
      <c r="G41" s="106">
        <v>44256.0</v>
      </c>
      <c r="H41" s="107" t="s">
        <v>82</v>
      </c>
      <c r="I41" s="48" t="s">
        <v>82</v>
      </c>
      <c r="J41" s="110" t="s">
        <v>82</v>
      </c>
      <c r="K41" s="48" t="s">
        <v>82</v>
      </c>
      <c r="L41" s="48" t="s">
        <v>246</v>
      </c>
      <c r="M41" s="127" t="s">
        <v>290</v>
      </c>
      <c r="N41" s="46" t="s">
        <v>291</v>
      </c>
      <c r="O41" s="46" t="s">
        <v>86</v>
      </c>
      <c r="P41" s="112"/>
    </row>
    <row r="42" ht="33.0" customHeight="1">
      <c r="A42" s="41">
        <v>36.0</v>
      </c>
      <c r="B42" s="21" t="s">
        <v>172</v>
      </c>
      <c r="C42" s="62" t="s">
        <v>173</v>
      </c>
      <c r="D42" s="48" t="s">
        <v>82</v>
      </c>
      <c r="E42" s="48" t="s">
        <v>82</v>
      </c>
      <c r="F42" s="23" t="s">
        <v>249</v>
      </c>
      <c r="G42" s="48" t="s">
        <v>292</v>
      </c>
      <c r="H42" s="107" t="s">
        <v>82</v>
      </c>
      <c r="I42" s="48" t="s">
        <v>82</v>
      </c>
      <c r="J42" s="110" t="s">
        <v>82</v>
      </c>
      <c r="K42" s="48" t="s">
        <v>82</v>
      </c>
      <c r="L42" s="48" t="s">
        <v>246</v>
      </c>
      <c r="M42" s="76" t="s">
        <v>293</v>
      </c>
      <c r="N42" s="46" t="s">
        <v>294</v>
      </c>
      <c r="O42" s="46" t="s">
        <v>86</v>
      </c>
      <c r="P42" s="112"/>
    </row>
    <row r="43" ht="21.0" customHeight="1">
      <c r="A43" s="46">
        <v>37.0</v>
      </c>
      <c r="B43" s="130" t="s">
        <v>295</v>
      </c>
      <c r="C43" s="132" t="s">
        <v>178</v>
      </c>
      <c r="D43" s="133" t="s">
        <v>82</v>
      </c>
      <c r="E43" s="133" t="s">
        <v>82</v>
      </c>
      <c r="F43" s="134" t="s">
        <v>296</v>
      </c>
      <c r="G43" s="136">
        <v>44564.0</v>
      </c>
      <c r="H43" s="137" t="s">
        <v>82</v>
      </c>
      <c r="I43" s="48" t="s">
        <v>82</v>
      </c>
      <c r="J43" s="138" t="s">
        <v>82</v>
      </c>
      <c r="K43" s="133" t="s">
        <v>82</v>
      </c>
      <c r="L43" s="133" t="s">
        <v>246</v>
      </c>
      <c r="M43" s="134" t="s">
        <v>297</v>
      </c>
      <c r="N43" s="140" t="s">
        <v>298</v>
      </c>
      <c r="O43" s="140" t="s">
        <v>86</v>
      </c>
      <c r="P43" s="141"/>
    </row>
    <row r="44" ht="25.5" customHeight="1">
      <c r="A44" s="41">
        <v>38.0</v>
      </c>
      <c r="B44" s="21" t="s">
        <v>181</v>
      </c>
      <c r="C44" s="78" t="s">
        <v>182</v>
      </c>
      <c r="D44" s="48" t="s">
        <v>82</v>
      </c>
      <c r="E44" s="48" t="s">
        <v>82</v>
      </c>
      <c r="F44" s="127" t="s">
        <v>183</v>
      </c>
      <c r="G44" s="106">
        <v>44868.0</v>
      </c>
      <c r="H44" s="107" t="s">
        <v>82</v>
      </c>
      <c r="I44" s="48" t="s">
        <v>82</v>
      </c>
      <c r="J44" s="110" t="s">
        <v>82</v>
      </c>
      <c r="K44" s="48" t="s">
        <v>82</v>
      </c>
      <c r="L44" s="48" t="s">
        <v>255</v>
      </c>
      <c r="M44" s="127" t="s">
        <v>299</v>
      </c>
      <c r="N44" s="46" t="s">
        <v>300</v>
      </c>
      <c r="O44" s="46" t="s">
        <v>86</v>
      </c>
      <c r="P44" s="112"/>
    </row>
    <row r="45" ht="16.5" customHeight="1">
      <c r="A45" s="5"/>
      <c r="B45" s="5"/>
      <c r="C45" s="10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B46" s="146" t="s">
        <v>302</v>
      </c>
      <c r="M46" s="146" t="s">
        <v>303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B47" s="146" t="s">
        <v>304</v>
      </c>
      <c r="M47" s="146" t="s">
        <v>305</v>
      </c>
    </row>
    <row r="48" ht="15.75" customHeight="1">
      <c r="B48" s="148"/>
      <c r="C48" s="149"/>
      <c r="D48" s="148"/>
      <c r="M48" s="148"/>
      <c r="N48" s="148"/>
      <c r="O48" s="148"/>
      <c r="P48" s="150"/>
    </row>
    <row r="49" ht="15.75" customHeight="1">
      <c r="B49" s="148"/>
      <c r="C49" s="149"/>
      <c r="D49" s="148"/>
      <c r="M49" s="148"/>
      <c r="N49" s="148"/>
      <c r="O49" s="148"/>
      <c r="P49" s="150"/>
    </row>
    <row r="50" ht="15.75" customHeight="1">
      <c r="B50" s="148"/>
      <c r="C50" s="149"/>
      <c r="D50" s="148"/>
      <c r="M50" s="148"/>
      <c r="N50" s="148"/>
      <c r="O50" s="148"/>
      <c r="P50" s="150"/>
    </row>
    <row r="51" ht="15.75" customHeight="1">
      <c r="B51" s="151" t="s">
        <v>307</v>
      </c>
      <c r="M51" s="151" t="s">
        <v>39</v>
      </c>
    </row>
    <row r="52" ht="15.75" customHeight="1">
      <c r="B52" s="152" t="s">
        <v>308</v>
      </c>
      <c r="M52" s="146" t="s">
        <v>309</v>
      </c>
    </row>
    <row r="53" ht="15.75" customHeight="1">
      <c r="C53" s="108"/>
    </row>
    <row r="54" ht="15.75" customHeight="1">
      <c r="C54" s="108"/>
    </row>
    <row r="55" ht="15.75" customHeight="1">
      <c r="C55" s="108"/>
    </row>
    <row r="56" ht="15.75" customHeight="1">
      <c r="C56" s="108"/>
    </row>
    <row r="57" ht="15.75" customHeight="1">
      <c r="C57" s="108"/>
    </row>
    <row r="58" ht="15.75" customHeight="1">
      <c r="C58" s="108"/>
    </row>
    <row r="59" ht="15.75" customHeight="1">
      <c r="C59" s="108"/>
    </row>
    <row r="60" ht="15.75" customHeight="1">
      <c r="C60" s="108"/>
    </row>
    <row r="61" ht="15.75" customHeight="1">
      <c r="C61" s="108"/>
    </row>
    <row r="62" ht="15.75" customHeight="1">
      <c r="C62" s="108"/>
    </row>
    <row r="63" ht="15.75" customHeight="1">
      <c r="C63" s="108"/>
    </row>
    <row r="64" ht="15.75" customHeight="1">
      <c r="C64" s="108"/>
    </row>
    <row r="65" ht="15.75" customHeight="1">
      <c r="C65" s="108"/>
    </row>
    <row r="66" ht="15.75" customHeight="1">
      <c r="C66" s="108"/>
    </row>
    <row r="67" ht="15.75" customHeight="1">
      <c r="C67" s="108"/>
    </row>
    <row r="68" ht="15.75" customHeight="1">
      <c r="C68" s="108"/>
    </row>
    <row r="69" ht="15.75" customHeight="1">
      <c r="C69" s="108"/>
    </row>
    <row r="70" ht="15.75" customHeight="1">
      <c r="C70" s="108"/>
    </row>
    <row r="71" ht="15.75" customHeight="1">
      <c r="C71" s="108"/>
    </row>
    <row r="72" ht="15.75" customHeight="1">
      <c r="C72" s="108"/>
    </row>
    <row r="73" ht="15.75" customHeight="1">
      <c r="C73" s="108"/>
    </row>
    <row r="74" ht="15.75" customHeight="1">
      <c r="C74" s="108"/>
    </row>
    <row r="75" ht="15.75" customHeight="1">
      <c r="C75" s="108"/>
    </row>
    <row r="76" ht="15.75" customHeight="1">
      <c r="C76" s="108"/>
    </row>
    <row r="77" ht="15.75" customHeight="1">
      <c r="C77" s="108"/>
    </row>
    <row r="78" ht="15.75" customHeight="1">
      <c r="C78" s="108"/>
    </row>
    <row r="79" ht="15.75" customHeight="1">
      <c r="C79" s="108"/>
    </row>
    <row r="80" ht="15.75" customHeight="1">
      <c r="C80" s="108"/>
    </row>
    <row r="81" ht="15.75" customHeight="1">
      <c r="C81" s="108"/>
    </row>
    <row r="82" ht="15.75" customHeight="1">
      <c r="C82" s="108"/>
    </row>
    <row r="83" ht="15.75" customHeight="1">
      <c r="C83" s="108"/>
    </row>
    <row r="84" ht="15.75" customHeight="1">
      <c r="C84" s="108"/>
    </row>
    <row r="85" ht="15.75" customHeight="1">
      <c r="C85" s="108"/>
    </row>
    <row r="86" ht="15.75" customHeight="1">
      <c r="C86" s="108"/>
    </row>
    <row r="87" ht="15.75" customHeight="1">
      <c r="C87" s="108"/>
    </row>
    <row r="88" ht="15.75" customHeight="1">
      <c r="C88" s="108"/>
    </row>
    <row r="89" ht="15.75" customHeight="1">
      <c r="C89" s="108"/>
    </row>
    <row r="90" ht="15.75" customHeight="1">
      <c r="C90" s="108"/>
    </row>
    <row r="91" ht="15.75" customHeight="1">
      <c r="C91" s="108"/>
    </row>
    <row r="92" ht="15.75" customHeight="1">
      <c r="C92" s="108"/>
    </row>
    <row r="93" ht="15.75" customHeight="1">
      <c r="C93" s="108"/>
    </row>
    <row r="94" ht="15.75" customHeight="1">
      <c r="C94" s="108"/>
    </row>
    <row r="95" ht="15.75" customHeight="1">
      <c r="C95" s="108"/>
    </row>
    <row r="96" ht="15.75" customHeight="1">
      <c r="C96" s="108"/>
    </row>
    <row r="97" ht="15.75" customHeight="1">
      <c r="C97" s="108"/>
    </row>
    <row r="98" ht="15.75" customHeight="1">
      <c r="C98" s="108"/>
    </row>
    <row r="99" ht="15.75" customHeight="1">
      <c r="C99" s="108"/>
    </row>
    <row r="100" ht="15.75" customHeight="1">
      <c r="C100" s="108"/>
    </row>
    <row r="101" ht="15.75" customHeight="1">
      <c r="C101" s="108"/>
    </row>
    <row r="102" ht="15.75" customHeight="1">
      <c r="C102" s="108"/>
    </row>
    <row r="103" ht="15.75" customHeight="1">
      <c r="C103" s="108"/>
    </row>
    <row r="104" ht="15.75" customHeight="1">
      <c r="C104" s="108"/>
    </row>
    <row r="105" ht="15.75" customHeight="1">
      <c r="C105" s="108"/>
    </row>
    <row r="106" ht="15.75" customHeight="1">
      <c r="C106" s="108"/>
    </row>
    <row r="107" ht="15.75" customHeight="1">
      <c r="C107" s="108"/>
    </row>
    <row r="108" ht="15.75" customHeight="1">
      <c r="C108" s="108"/>
    </row>
    <row r="109" ht="15.75" customHeight="1">
      <c r="C109" s="108"/>
    </row>
    <row r="110" ht="15.75" customHeight="1">
      <c r="C110" s="108"/>
    </row>
    <row r="111" ht="15.75" customHeight="1">
      <c r="C111" s="108"/>
    </row>
    <row r="112" ht="15.75" customHeight="1">
      <c r="C112" s="108"/>
    </row>
    <row r="113" ht="15.75" customHeight="1">
      <c r="C113" s="108"/>
    </row>
    <row r="114" ht="15.75" customHeight="1">
      <c r="C114" s="108"/>
    </row>
    <row r="115" ht="15.75" customHeight="1">
      <c r="C115" s="108"/>
    </row>
    <row r="116" ht="15.75" customHeight="1">
      <c r="C116" s="108"/>
    </row>
    <row r="117" ht="15.75" customHeight="1">
      <c r="C117" s="108"/>
    </row>
    <row r="118" ht="15.75" customHeight="1">
      <c r="C118" s="108"/>
    </row>
    <row r="119" ht="15.75" customHeight="1">
      <c r="C119" s="108"/>
    </row>
    <row r="120" ht="15.75" customHeight="1">
      <c r="C120" s="108"/>
    </row>
    <row r="121" ht="15.75" customHeight="1">
      <c r="C121" s="108"/>
    </row>
    <row r="122" ht="15.75" customHeight="1">
      <c r="C122" s="108"/>
    </row>
    <row r="123" ht="15.75" customHeight="1">
      <c r="C123" s="108"/>
    </row>
    <row r="124" ht="15.75" customHeight="1">
      <c r="C124" s="108"/>
    </row>
    <row r="125" ht="15.75" customHeight="1">
      <c r="C125" s="108"/>
    </row>
    <row r="126" ht="15.75" customHeight="1">
      <c r="C126" s="108"/>
    </row>
    <row r="127" ht="15.75" customHeight="1">
      <c r="C127" s="108"/>
    </row>
    <row r="128" ht="15.75" customHeight="1">
      <c r="C128" s="108"/>
    </row>
    <row r="129" ht="15.75" customHeight="1">
      <c r="C129" s="108"/>
    </row>
    <row r="130" ht="15.75" customHeight="1">
      <c r="C130" s="108"/>
    </row>
    <row r="131" ht="15.75" customHeight="1">
      <c r="C131" s="108"/>
    </row>
    <row r="132" ht="15.75" customHeight="1">
      <c r="C132" s="108"/>
    </row>
    <row r="133" ht="15.75" customHeight="1">
      <c r="C133" s="108"/>
    </row>
    <row r="134" ht="15.75" customHeight="1">
      <c r="C134" s="108"/>
    </row>
    <row r="135" ht="15.75" customHeight="1">
      <c r="C135" s="108"/>
    </row>
    <row r="136" ht="15.75" customHeight="1">
      <c r="C136" s="108"/>
    </row>
    <row r="137" ht="15.75" customHeight="1">
      <c r="C137" s="108"/>
    </row>
    <row r="138" ht="15.75" customHeight="1">
      <c r="C138" s="108"/>
    </row>
    <row r="139" ht="15.75" customHeight="1">
      <c r="C139" s="108"/>
    </row>
    <row r="140" ht="15.75" customHeight="1">
      <c r="C140" s="108"/>
    </row>
    <row r="141" ht="15.75" customHeight="1">
      <c r="C141" s="108"/>
    </row>
    <row r="142" ht="15.75" customHeight="1">
      <c r="C142" s="108"/>
    </row>
    <row r="143" ht="15.75" customHeight="1">
      <c r="C143" s="108"/>
    </row>
    <row r="144" ht="15.75" customHeight="1">
      <c r="C144" s="108"/>
    </row>
    <row r="145" ht="15.75" customHeight="1">
      <c r="C145" s="108"/>
    </row>
    <row r="146" ht="15.75" customHeight="1">
      <c r="C146" s="108"/>
    </row>
    <row r="147" ht="15.75" customHeight="1">
      <c r="C147" s="108"/>
    </row>
    <row r="148" ht="15.75" customHeight="1">
      <c r="C148" s="108"/>
    </row>
    <row r="149" ht="15.75" customHeight="1">
      <c r="C149" s="108"/>
    </row>
    <row r="150" ht="15.75" customHeight="1">
      <c r="C150" s="108"/>
    </row>
    <row r="151" ht="15.75" customHeight="1">
      <c r="C151" s="108"/>
    </row>
    <row r="152" ht="15.75" customHeight="1">
      <c r="C152" s="108"/>
    </row>
    <row r="153" ht="15.75" customHeight="1">
      <c r="C153" s="108"/>
    </row>
    <row r="154" ht="15.75" customHeight="1">
      <c r="C154" s="108"/>
    </row>
    <row r="155" ht="15.75" customHeight="1">
      <c r="C155" s="108"/>
    </row>
    <row r="156" ht="15.75" customHeight="1">
      <c r="C156" s="108"/>
    </row>
    <row r="157" ht="15.75" customHeight="1">
      <c r="C157" s="108"/>
    </row>
    <row r="158" ht="15.75" customHeight="1">
      <c r="C158" s="108"/>
    </row>
    <row r="159" ht="15.75" customHeight="1">
      <c r="C159" s="108"/>
    </row>
    <row r="160" ht="15.75" customHeight="1">
      <c r="C160" s="108"/>
    </row>
    <row r="161" ht="15.75" customHeight="1">
      <c r="C161" s="108"/>
    </row>
    <row r="162" ht="15.75" customHeight="1">
      <c r="C162" s="108"/>
    </row>
    <row r="163" ht="15.75" customHeight="1">
      <c r="C163" s="108"/>
    </row>
    <row r="164" ht="15.75" customHeight="1">
      <c r="C164" s="108"/>
    </row>
    <row r="165" ht="15.75" customHeight="1">
      <c r="C165" s="108"/>
    </row>
    <row r="166" ht="15.75" customHeight="1">
      <c r="C166" s="108"/>
    </row>
    <row r="167" ht="15.75" customHeight="1">
      <c r="C167" s="108"/>
    </row>
    <row r="168" ht="15.75" customHeight="1">
      <c r="C168" s="108"/>
    </row>
    <row r="169" ht="15.75" customHeight="1">
      <c r="C169" s="108"/>
    </row>
    <row r="170" ht="15.75" customHeight="1">
      <c r="C170" s="108"/>
    </row>
    <row r="171" ht="15.75" customHeight="1">
      <c r="C171" s="108"/>
    </row>
    <row r="172" ht="15.75" customHeight="1">
      <c r="C172" s="108"/>
    </row>
    <row r="173" ht="15.75" customHeight="1">
      <c r="C173" s="108"/>
    </row>
    <row r="174" ht="15.75" customHeight="1">
      <c r="C174" s="108"/>
    </row>
    <row r="175" ht="15.75" customHeight="1">
      <c r="C175" s="108"/>
    </row>
    <row r="176" ht="15.75" customHeight="1">
      <c r="C176" s="108"/>
    </row>
    <row r="177" ht="15.75" customHeight="1">
      <c r="C177" s="108"/>
    </row>
    <row r="178" ht="15.75" customHeight="1">
      <c r="C178" s="108"/>
    </row>
    <row r="179" ht="15.75" customHeight="1">
      <c r="C179" s="108"/>
    </row>
    <row r="180" ht="15.75" customHeight="1">
      <c r="C180" s="108"/>
    </row>
    <row r="181" ht="15.75" customHeight="1">
      <c r="C181" s="108"/>
    </row>
    <row r="182" ht="15.75" customHeight="1">
      <c r="C182" s="108"/>
    </row>
    <row r="183" ht="15.75" customHeight="1">
      <c r="C183" s="108"/>
    </row>
    <row r="184" ht="15.75" customHeight="1">
      <c r="C184" s="108"/>
    </row>
    <row r="185" ht="15.75" customHeight="1">
      <c r="C185" s="108"/>
    </row>
    <row r="186" ht="15.75" customHeight="1">
      <c r="C186" s="108"/>
    </row>
    <row r="187" ht="15.75" customHeight="1">
      <c r="C187" s="108"/>
    </row>
    <row r="188" ht="15.75" customHeight="1">
      <c r="C188" s="108"/>
    </row>
    <row r="189" ht="15.75" customHeight="1">
      <c r="C189" s="108"/>
    </row>
    <row r="190" ht="15.75" customHeight="1">
      <c r="C190" s="108"/>
    </row>
    <row r="191" ht="15.75" customHeight="1">
      <c r="C191" s="108"/>
    </row>
    <row r="192" ht="15.75" customHeight="1">
      <c r="C192" s="108"/>
    </row>
    <row r="193" ht="15.75" customHeight="1">
      <c r="C193" s="108"/>
    </row>
    <row r="194" ht="15.75" customHeight="1">
      <c r="C194" s="108"/>
    </row>
    <row r="195" ht="15.75" customHeight="1">
      <c r="C195" s="108"/>
    </row>
    <row r="196" ht="15.75" customHeight="1">
      <c r="C196" s="108"/>
    </row>
    <row r="197" ht="15.75" customHeight="1">
      <c r="C197" s="108"/>
    </row>
    <row r="198" ht="15.75" customHeight="1">
      <c r="C198" s="108"/>
    </row>
    <row r="199" ht="15.75" customHeight="1">
      <c r="C199" s="108"/>
    </row>
    <row r="200" ht="15.75" customHeight="1">
      <c r="C200" s="108"/>
    </row>
    <row r="201" ht="15.75" customHeight="1">
      <c r="C201" s="108"/>
    </row>
    <row r="202" ht="15.75" customHeight="1">
      <c r="C202" s="108"/>
    </row>
    <row r="203" ht="15.75" customHeight="1">
      <c r="C203" s="108"/>
    </row>
    <row r="204" ht="15.75" customHeight="1">
      <c r="C204" s="108"/>
    </row>
    <row r="205" ht="15.75" customHeight="1">
      <c r="C205" s="108"/>
    </row>
    <row r="206" ht="15.75" customHeight="1">
      <c r="C206" s="108"/>
    </row>
    <row r="207" ht="15.75" customHeight="1">
      <c r="C207" s="108"/>
    </row>
    <row r="208" ht="15.75" customHeight="1">
      <c r="C208" s="108"/>
    </row>
    <row r="209" ht="15.75" customHeight="1">
      <c r="C209" s="108"/>
    </row>
    <row r="210" ht="15.75" customHeight="1">
      <c r="C210" s="108"/>
    </row>
    <row r="211" ht="15.75" customHeight="1">
      <c r="C211" s="108"/>
    </row>
    <row r="212" ht="15.75" customHeight="1">
      <c r="C212" s="108"/>
    </row>
    <row r="213" ht="15.75" customHeight="1">
      <c r="C213" s="108"/>
    </row>
    <row r="214" ht="15.75" customHeight="1">
      <c r="C214" s="108"/>
    </row>
    <row r="215" ht="15.75" customHeight="1">
      <c r="C215" s="108"/>
    </row>
    <row r="216" ht="15.75" customHeight="1">
      <c r="C216" s="108"/>
    </row>
    <row r="217" ht="15.75" customHeight="1">
      <c r="C217" s="108"/>
    </row>
    <row r="218" ht="15.75" customHeight="1">
      <c r="C218" s="108"/>
    </row>
    <row r="219" ht="15.75" customHeight="1">
      <c r="C219" s="108"/>
    </row>
    <row r="220" ht="15.75" customHeight="1">
      <c r="C220" s="108"/>
    </row>
    <row r="221" ht="15.75" customHeight="1">
      <c r="C221" s="108"/>
    </row>
    <row r="222" ht="15.75" customHeight="1">
      <c r="C222" s="108"/>
    </row>
    <row r="223" ht="15.75" customHeight="1">
      <c r="C223" s="108"/>
    </row>
    <row r="224" ht="15.75" customHeight="1">
      <c r="C224" s="108"/>
    </row>
    <row r="225" ht="15.75" customHeight="1">
      <c r="C225" s="108"/>
    </row>
    <row r="226" ht="15.75" customHeight="1">
      <c r="C226" s="108"/>
    </row>
    <row r="227" ht="15.75" customHeight="1">
      <c r="C227" s="108"/>
    </row>
    <row r="228" ht="15.75" customHeight="1">
      <c r="C228" s="108"/>
    </row>
    <row r="229" ht="15.75" customHeight="1">
      <c r="C229" s="108"/>
    </row>
    <row r="230" ht="15.75" customHeight="1">
      <c r="C230" s="108"/>
    </row>
    <row r="231" ht="15.75" customHeight="1">
      <c r="C231" s="108"/>
    </row>
    <row r="232" ht="15.75" customHeight="1">
      <c r="C232" s="108"/>
    </row>
    <row r="233" ht="15.75" customHeight="1">
      <c r="C233" s="108"/>
    </row>
    <row r="234" ht="15.75" customHeight="1">
      <c r="C234" s="108"/>
    </row>
    <row r="235" ht="15.75" customHeight="1">
      <c r="C235" s="108"/>
    </row>
    <row r="236" ht="15.75" customHeight="1">
      <c r="C236" s="108"/>
    </row>
    <row r="237" ht="15.75" customHeight="1">
      <c r="C237" s="108"/>
    </row>
    <row r="238" ht="15.75" customHeight="1">
      <c r="C238" s="108"/>
    </row>
    <row r="239" ht="15.75" customHeight="1">
      <c r="C239" s="108"/>
    </row>
    <row r="240" ht="15.75" customHeight="1">
      <c r="C240" s="108"/>
    </row>
    <row r="241" ht="15.75" customHeight="1">
      <c r="C241" s="108"/>
    </row>
    <row r="242" ht="15.75" customHeight="1">
      <c r="C242" s="108"/>
    </row>
    <row r="243" ht="15.75" customHeight="1">
      <c r="C243" s="108"/>
    </row>
    <row r="244" ht="15.75" customHeight="1">
      <c r="C244" s="108"/>
    </row>
    <row r="245" ht="15.75" customHeight="1">
      <c r="C245" s="108"/>
    </row>
    <row r="246" ht="15.75" customHeight="1">
      <c r="C246" s="108"/>
    </row>
    <row r="247" ht="15.75" customHeight="1">
      <c r="C247" s="108"/>
    </row>
    <row r="248" ht="15.75" customHeight="1">
      <c r="C248" s="108"/>
    </row>
    <row r="249" ht="15.75" customHeight="1">
      <c r="C249" s="108"/>
    </row>
    <row r="250" ht="15.75" customHeight="1">
      <c r="C250" s="108"/>
    </row>
    <row r="251" ht="15.75" customHeight="1">
      <c r="C251" s="108"/>
    </row>
    <row r="252" ht="15.75" customHeight="1">
      <c r="C252" s="108"/>
    </row>
    <row r="253" ht="15.75" customHeight="1">
      <c r="C253" s="108"/>
    </row>
    <row r="254" ht="15.75" customHeight="1">
      <c r="C254" s="108"/>
    </row>
    <row r="255" ht="15.75" customHeight="1">
      <c r="C255" s="108"/>
    </row>
    <row r="256" ht="15.75" customHeight="1">
      <c r="C256" s="108"/>
    </row>
    <row r="257" ht="15.75" customHeight="1">
      <c r="C257" s="108"/>
    </row>
    <row r="258" ht="15.75" customHeight="1">
      <c r="C258" s="108"/>
    </row>
    <row r="259" ht="15.75" customHeight="1">
      <c r="C259" s="108"/>
    </row>
    <row r="260" ht="15.75" customHeight="1">
      <c r="C260" s="108"/>
    </row>
    <row r="261" ht="15.75" customHeight="1">
      <c r="C261" s="108"/>
    </row>
    <row r="262" ht="15.75" customHeight="1">
      <c r="C262" s="108"/>
    </row>
    <row r="263" ht="15.75" customHeight="1">
      <c r="C263" s="108"/>
    </row>
    <row r="264" ht="15.75" customHeight="1">
      <c r="C264" s="108"/>
    </row>
    <row r="265" ht="15.75" customHeight="1">
      <c r="C265" s="108"/>
    </row>
    <row r="266" ht="15.75" customHeight="1">
      <c r="C266" s="108"/>
    </row>
    <row r="267" ht="15.75" customHeight="1">
      <c r="C267" s="108"/>
    </row>
    <row r="268" ht="15.75" customHeight="1">
      <c r="C268" s="108"/>
    </row>
    <row r="269" ht="15.75" customHeight="1">
      <c r="C269" s="108"/>
    </row>
    <row r="270" ht="15.75" customHeight="1">
      <c r="C270" s="108"/>
    </row>
    <row r="271" ht="15.75" customHeight="1">
      <c r="C271" s="108"/>
    </row>
    <row r="272" ht="15.75" customHeight="1">
      <c r="C272" s="108"/>
    </row>
    <row r="273" ht="15.75" customHeight="1">
      <c r="C273" s="108"/>
    </row>
    <row r="274" ht="15.75" customHeight="1">
      <c r="C274" s="108"/>
    </row>
    <row r="275" ht="15.75" customHeight="1">
      <c r="C275" s="108"/>
    </row>
    <row r="276" ht="15.75" customHeight="1">
      <c r="C276" s="108"/>
    </row>
    <row r="277" ht="15.75" customHeight="1">
      <c r="C277" s="108"/>
    </row>
    <row r="278" ht="15.75" customHeight="1">
      <c r="C278" s="108"/>
    </row>
    <row r="279" ht="15.75" customHeight="1">
      <c r="C279" s="108"/>
    </row>
    <row r="280" ht="15.75" customHeight="1">
      <c r="C280" s="108"/>
    </row>
    <row r="281" ht="15.75" customHeight="1">
      <c r="C281" s="108"/>
    </row>
    <row r="282" ht="15.75" customHeight="1">
      <c r="C282" s="108"/>
    </row>
    <row r="283" ht="15.75" customHeight="1">
      <c r="C283" s="108"/>
    </row>
    <row r="284" ht="15.75" customHeight="1">
      <c r="C284" s="108"/>
    </row>
    <row r="285" ht="15.75" customHeight="1">
      <c r="C285" s="108"/>
    </row>
    <row r="286" ht="15.75" customHeight="1">
      <c r="C286" s="108"/>
    </row>
    <row r="287" ht="15.75" customHeight="1">
      <c r="C287" s="108"/>
    </row>
    <row r="288" ht="15.75" customHeight="1">
      <c r="C288" s="108"/>
    </row>
    <row r="289" ht="15.75" customHeight="1">
      <c r="C289" s="108"/>
    </row>
    <row r="290" ht="15.75" customHeight="1">
      <c r="C290" s="108"/>
    </row>
    <row r="291" ht="15.75" customHeight="1">
      <c r="C291" s="108"/>
    </row>
    <row r="292" ht="15.75" customHeight="1">
      <c r="C292" s="108"/>
    </row>
    <row r="293" ht="15.75" customHeight="1">
      <c r="C293" s="108"/>
    </row>
    <row r="294" ht="15.75" customHeight="1">
      <c r="C294" s="108"/>
    </row>
    <row r="295" ht="15.75" customHeight="1">
      <c r="C295" s="108"/>
    </row>
    <row r="296" ht="15.75" customHeight="1">
      <c r="C296" s="108"/>
    </row>
    <row r="297" ht="15.75" customHeight="1">
      <c r="C297" s="108"/>
    </row>
    <row r="298" ht="15.75" customHeight="1">
      <c r="C298" s="108"/>
    </row>
    <row r="299" ht="15.75" customHeight="1">
      <c r="C299" s="108"/>
    </row>
    <row r="300" ht="15.75" customHeight="1">
      <c r="C300" s="108"/>
    </row>
    <row r="301" ht="15.75" customHeight="1">
      <c r="C301" s="108"/>
    </row>
    <row r="302" ht="15.75" customHeight="1">
      <c r="C302" s="108"/>
    </row>
    <row r="303" ht="15.75" customHeight="1">
      <c r="C303" s="108"/>
    </row>
    <row r="304" ht="15.75" customHeight="1">
      <c r="C304" s="108"/>
    </row>
    <row r="305" ht="15.75" customHeight="1">
      <c r="C305" s="108"/>
    </row>
    <row r="306" ht="15.75" customHeight="1">
      <c r="C306" s="108"/>
    </row>
    <row r="307" ht="15.75" customHeight="1">
      <c r="C307" s="108"/>
    </row>
    <row r="308" ht="15.75" customHeight="1">
      <c r="C308" s="108"/>
    </row>
    <row r="309" ht="15.75" customHeight="1">
      <c r="C309" s="108"/>
    </row>
    <row r="310" ht="15.75" customHeight="1">
      <c r="C310" s="108"/>
    </row>
    <row r="311" ht="15.75" customHeight="1">
      <c r="C311" s="108"/>
    </row>
    <row r="312" ht="15.75" customHeight="1">
      <c r="C312" s="108"/>
    </row>
    <row r="313" ht="15.75" customHeight="1">
      <c r="C313" s="108"/>
    </row>
    <row r="314" ht="15.75" customHeight="1">
      <c r="C314" s="108"/>
    </row>
    <row r="315" ht="15.75" customHeight="1">
      <c r="C315" s="108"/>
    </row>
    <row r="316" ht="15.75" customHeight="1">
      <c r="C316" s="108"/>
    </row>
    <row r="317" ht="15.75" customHeight="1">
      <c r="C317" s="108"/>
    </row>
    <row r="318" ht="15.75" customHeight="1">
      <c r="C318" s="108"/>
    </row>
    <row r="319" ht="15.75" customHeight="1">
      <c r="C319" s="108"/>
    </row>
    <row r="320" ht="15.75" customHeight="1">
      <c r="C320" s="108"/>
    </row>
    <row r="321" ht="15.75" customHeight="1">
      <c r="C321" s="108"/>
    </row>
    <row r="322" ht="15.75" customHeight="1">
      <c r="C322" s="108"/>
    </row>
    <row r="323" ht="15.75" customHeight="1">
      <c r="C323" s="108"/>
    </row>
    <row r="324" ht="15.75" customHeight="1">
      <c r="C324" s="108"/>
    </row>
    <row r="325" ht="15.75" customHeight="1">
      <c r="C325" s="108"/>
    </row>
    <row r="326" ht="15.75" customHeight="1">
      <c r="C326" s="108"/>
    </row>
    <row r="327" ht="15.75" customHeight="1">
      <c r="C327" s="108"/>
    </row>
    <row r="328" ht="15.75" customHeight="1">
      <c r="C328" s="108"/>
    </row>
    <row r="329" ht="15.75" customHeight="1">
      <c r="C329" s="108"/>
    </row>
    <row r="330" ht="15.75" customHeight="1">
      <c r="C330" s="108"/>
    </row>
    <row r="331" ht="15.75" customHeight="1">
      <c r="C331" s="108"/>
    </row>
    <row r="332" ht="15.75" customHeight="1">
      <c r="C332" s="108"/>
    </row>
    <row r="333" ht="15.75" customHeight="1">
      <c r="C333" s="108"/>
    </row>
    <row r="334" ht="15.75" customHeight="1">
      <c r="C334" s="108"/>
    </row>
    <row r="335" ht="15.75" customHeight="1">
      <c r="C335" s="108"/>
    </row>
    <row r="336" ht="15.75" customHeight="1">
      <c r="C336" s="108"/>
    </row>
    <row r="337" ht="15.75" customHeight="1">
      <c r="C337" s="108"/>
    </row>
    <row r="338" ht="15.75" customHeight="1">
      <c r="C338" s="108"/>
    </row>
    <row r="339" ht="15.75" customHeight="1">
      <c r="C339" s="108"/>
    </row>
    <row r="340" ht="15.75" customHeight="1">
      <c r="C340" s="108"/>
    </row>
    <row r="341" ht="15.75" customHeight="1">
      <c r="C341" s="108"/>
    </row>
    <row r="342" ht="15.75" customHeight="1">
      <c r="C342" s="108"/>
    </row>
    <row r="343" ht="15.75" customHeight="1">
      <c r="C343" s="108"/>
    </row>
    <row r="344" ht="15.75" customHeight="1">
      <c r="C344" s="108"/>
    </row>
    <row r="345" ht="15.75" customHeight="1">
      <c r="C345" s="108"/>
    </row>
    <row r="346" ht="15.75" customHeight="1">
      <c r="C346" s="108"/>
    </row>
    <row r="347" ht="15.75" customHeight="1">
      <c r="C347" s="108"/>
    </row>
    <row r="348" ht="15.75" customHeight="1">
      <c r="C348" s="108"/>
    </row>
    <row r="349" ht="15.75" customHeight="1">
      <c r="C349" s="108"/>
    </row>
    <row r="350" ht="15.75" customHeight="1">
      <c r="C350" s="108"/>
    </row>
    <row r="351" ht="15.75" customHeight="1">
      <c r="C351" s="108"/>
    </row>
    <row r="352" ht="15.75" customHeight="1">
      <c r="C352" s="108"/>
    </row>
    <row r="353" ht="15.75" customHeight="1">
      <c r="C353" s="108"/>
    </row>
    <row r="354" ht="15.75" customHeight="1">
      <c r="C354" s="108"/>
    </row>
    <row r="355" ht="15.75" customHeight="1">
      <c r="C355" s="108"/>
    </row>
    <row r="356" ht="15.75" customHeight="1">
      <c r="C356" s="108"/>
    </row>
    <row r="357" ht="15.75" customHeight="1">
      <c r="C357" s="108"/>
    </row>
    <row r="358" ht="15.75" customHeight="1">
      <c r="C358" s="108"/>
    </row>
    <row r="359" ht="15.75" customHeight="1">
      <c r="C359" s="108"/>
    </row>
    <row r="360" ht="15.75" customHeight="1">
      <c r="C360" s="108"/>
    </row>
    <row r="361" ht="15.75" customHeight="1">
      <c r="C361" s="108"/>
    </row>
    <row r="362" ht="15.75" customHeight="1">
      <c r="C362" s="108"/>
    </row>
    <row r="363" ht="15.75" customHeight="1">
      <c r="C363" s="108"/>
    </row>
    <row r="364" ht="15.75" customHeight="1">
      <c r="C364" s="108"/>
    </row>
    <row r="365" ht="15.75" customHeight="1">
      <c r="C365" s="108"/>
    </row>
    <row r="366" ht="15.75" customHeight="1">
      <c r="C366" s="108"/>
    </row>
    <row r="367" ht="15.75" customHeight="1">
      <c r="C367" s="108"/>
    </row>
    <row r="368" ht="15.75" customHeight="1">
      <c r="C368" s="108"/>
    </row>
    <row r="369" ht="15.75" customHeight="1">
      <c r="C369" s="108"/>
    </row>
    <row r="370" ht="15.75" customHeight="1">
      <c r="C370" s="108"/>
    </row>
    <row r="371" ht="15.75" customHeight="1">
      <c r="C371" s="108"/>
    </row>
    <row r="372" ht="15.75" customHeight="1">
      <c r="C372" s="108"/>
    </row>
    <row r="373" ht="15.75" customHeight="1">
      <c r="C373" s="108"/>
    </row>
    <row r="374" ht="15.75" customHeight="1">
      <c r="C374" s="108"/>
    </row>
    <row r="375" ht="15.75" customHeight="1">
      <c r="C375" s="108"/>
    </row>
    <row r="376" ht="15.75" customHeight="1">
      <c r="C376" s="108"/>
    </row>
    <row r="377" ht="15.75" customHeight="1">
      <c r="C377" s="108"/>
    </row>
    <row r="378" ht="15.75" customHeight="1">
      <c r="C378" s="108"/>
    </row>
    <row r="379" ht="15.75" customHeight="1">
      <c r="C379" s="108"/>
    </row>
    <row r="380" ht="15.75" customHeight="1">
      <c r="C380" s="108"/>
    </row>
    <row r="381" ht="15.75" customHeight="1">
      <c r="C381" s="108"/>
    </row>
    <row r="382" ht="15.75" customHeight="1">
      <c r="C382" s="108"/>
    </row>
    <row r="383" ht="15.75" customHeight="1">
      <c r="C383" s="108"/>
    </row>
    <row r="384" ht="15.75" customHeight="1">
      <c r="C384" s="108"/>
    </row>
    <row r="385" ht="15.75" customHeight="1">
      <c r="C385" s="108"/>
    </row>
    <row r="386" ht="15.75" customHeight="1">
      <c r="C386" s="108"/>
    </row>
    <row r="387" ht="15.75" customHeight="1">
      <c r="C387" s="108"/>
    </row>
    <row r="388" ht="15.75" customHeight="1">
      <c r="C388" s="108"/>
    </row>
    <row r="389" ht="15.75" customHeight="1">
      <c r="C389" s="108"/>
    </row>
    <row r="390" ht="15.75" customHeight="1">
      <c r="C390" s="108"/>
    </row>
    <row r="391" ht="15.75" customHeight="1">
      <c r="C391" s="108"/>
    </row>
    <row r="392" ht="15.75" customHeight="1">
      <c r="C392" s="108"/>
    </row>
    <row r="393" ht="15.75" customHeight="1">
      <c r="C393" s="108"/>
    </row>
    <row r="394" ht="15.75" customHeight="1">
      <c r="C394" s="108"/>
    </row>
    <row r="395" ht="15.75" customHeight="1">
      <c r="C395" s="108"/>
    </row>
    <row r="396" ht="15.75" customHeight="1">
      <c r="C396" s="108"/>
    </row>
    <row r="397" ht="15.75" customHeight="1">
      <c r="C397" s="108"/>
    </row>
    <row r="398" ht="15.75" customHeight="1">
      <c r="C398" s="108"/>
    </row>
    <row r="399" ht="15.75" customHeight="1">
      <c r="C399" s="108"/>
    </row>
    <row r="400" ht="15.75" customHeight="1">
      <c r="C400" s="108"/>
    </row>
    <row r="401" ht="15.75" customHeight="1">
      <c r="C401" s="108"/>
    </row>
    <row r="402" ht="15.75" customHeight="1">
      <c r="C402" s="108"/>
    </row>
    <row r="403" ht="15.75" customHeight="1">
      <c r="C403" s="108"/>
    </row>
    <row r="404" ht="15.75" customHeight="1">
      <c r="C404" s="108"/>
    </row>
    <row r="405" ht="15.75" customHeight="1">
      <c r="C405" s="108"/>
    </row>
    <row r="406" ht="15.75" customHeight="1">
      <c r="C406" s="108"/>
    </row>
    <row r="407" ht="15.75" customHeight="1">
      <c r="C407" s="108"/>
    </row>
    <row r="408" ht="15.75" customHeight="1">
      <c r="C408" s="108"/>
    </row>
    <row r="409" ht="15.75" customHeight="1">
      <c r="C409" s="108"/>
    </row>
    <row r="410" ht="15.75" customHeight="1">
      <c r="C410" s="108"/>
    </row>
    <row r="411" ht="15.75" customHeight="1">
      <c r="C411" s="108"/>
    </row>
    <row r="412" ht="15.75" customHeight="1">
      <c r="C412" s="108"/>
    </row>
    <row r="413" ht="15.75" customHeight="1">
      <c r="C413" s="108"/>
    </row>
    <row r="414" ht="15.75" customHeight="1">
      <c r="C414" s="108"/>
    </row>
    <row r="415" ht="15.75" customHeight="1">
      <c r="C415" s="108"/>
    </row>
    <row r="416" ht="15.75" customHeight="1">
      <c r="C416" s="108"/>
    </row>
    <row r="417" ht="15.75" customHeight="1">
      <c r="C417" s="108"/>
    </row>
    <row r="418" ht="15.75" customHeight="1">
      <c r="C418" s="108"/>
    </row>
    <row r="419" ht="15.75" customHeight="1">
      <c r="C419" s="108"/>
    </row>
    <row r="420" ht="15.75" customHeight="1">
      <c r="C420" s="108"/>
    </row>
    <row r="421" ht="15.75" customHeight="1">
      <c r="C421" s="108"/>
    </row>
    <row r="422" ht="15.75" customHeight="1">
      <c r="C422" s="108"/>
    </row>
    <row r="423" ht="15.75" customHeight="1">
      <c r="C423" s="108"/>
    </row>
    <row r="424" ht="15.75" customHeight="1">
      <c r="C424" s="108"/>
    </row>
    <row r="425" ht="15.75" customHeight="1">
      <c r="C425" s="108"/>
    </row>
    <row r="426" ht="15.75" customHeight="1">
      <c r="C426" s="108"/>
    </row>
    <row r="427" ht="15.75" customHeight="1">
      <c r="C427" s="108"/>
    </row>
    <row r="428" ht="15.75" customHeight="1">
      <c r="C428" s="108"/>
    </row>
    <row r="429" ht="15.75" customHeight="1">
      <c r="C429" s="108"/>
    </row>
    <row r="430" ht="15.75" customHeight="1">
      <c r="C430" s="108"/>
    </row>
    <row r="431" ht="15.75" customHeight="1">
      <c r="C431" s="108"/>
    </row>
    <row r="432" ht="15.75" customHeight="1">
      <c r="C432" s="108"/>
    </row>
    <row r="433" ht="15.75" customHeight="1">
      <c r="C433" s="108"/>
    </row>
    <row r="434" ht="15.75" customHeight="1">
      <c r="C434" s="108"/>
    </row>
    <row r="435" ht="15.75" customHeight="1">
      <c r="C435" s="108"/>
    </row>
    <row r="436" ht="15.75" customHeight="1">
      <c r="C436" s="108"/>
    </row>
    <row r="437" ht="15.75" customHeight="1">
      <c r="C437" s="108"/>
    </row>
    <row r="438" ht="15.75" customHeight="1">
      <c r="C438" s="108"/>
    </row>
    <row r="439" ht="15.75" customHeight="1">
      <c r="C439" s="108"/>
    </row>
    <row r="440" ht="15.75" customHeight="1">
      <c r="C440" s="108"/>
    </row>
    <row r="441" ht="15.75" customHeight="1">
      <c r="C441" s="108"/>
    </row>
    <row r="442" ht="15.75" customHeight="1">
      <c r="C442" s="108"/>
    </row>
    <row r="443" ht="15.75" customHeight="1">
      <c r="C443" s="108"/>
    </row>
    <row r="444" ht="15.75" customHeight="1">
      <c r="C444" s="108"/>
    </row>
    <row r="445" ht="15.75" customHeight="1">
      <c r="C445" s="108"/>
    </row>
    <row r="446" ht="15.75" customHeight="1">
      <c r="C446" s="108"/>
    </row>
    <row r="447" ht="15.75" customHeight="1">
      <c r="C447" s="108"/>
    </row>
    <row r="448" ht="15.75" customHeight="1">
      <c r="C448" s="108"/>
    </row>
    <row r="449" ht="15.75" customHeight="1">
      <c r="C449" s="108"/>
    </row>
    <row r="450" ht="15.75" customHeight="1">
      <c r="C450" s="108"/>
    </row>
    <row r="451" ht="15.75" customHeight="1">
      <c r="C451" s="108"/>
    </row>
    <row r="452" ht="15.75" customHeight="1">
      <c r="C452" s="108"/>
    </row>
    <row r="453" ht="15.75" customHeight="1">
      <c r="C453" s="108"/>
    </row>
    <row r="454" ht="15.75" customHeight="1">
      <c r="C454" s="108"/>
    </row>
    <row r="455" ht="15.75" customHeight="1">
      <c r="C455" s="108"/>
    </row>
    <row r="456" ht="15.75" customHeight="1">
      <c r="C456" s="108"/>
    </row>
    <row r="457" ht="15.75" customHeight="1">
      <c r="C457" s="108"/>
    </row>
    <row r="458" ht="15.75" customHeight="1">
      <c r="C458" s="108"/>
    </row>
    <row r="459" ht="15.75" customHeight="1">
      <c r="C459" s="108"/>
    </row>
    <row r="460" ht="15.75" customHeight="1">
      <c r="C460" s="108"/>
    </row>
    <row r="461" ht="15.75" customHeight="1">
      <c r="C461" s="108"/>
    </row>
    <row r="462" ht="15.75" customHeight="1">
      <c r="C462" s="108"/>
    </row>
    <row r="463" ht="15.75" customHeight="1">
      <c r="C463" s="108"/>
    </row>
    <row r="464" ht="15.75" customHeight="1">
      <c r="C464" s="108"/>
    </row>
    <row r="465" ht="15.75" customHeight="1">
      <c r="C465" s="108"/>
    </row>
    <row r="466" ht="15.75" customHeight="1">
      <c r="C466" s="108"/>
    </row>
    <row r="467" ht="15.75" customHeight="1">
      <c r="C467" s="108"/>
    </row>
    <row r="468" ht="15.75" customHeight="1">
      <c r="C468" s="108"/>
    </row>
    <row r="469" ht="15.75" customHeight="1">
      <c r="C469" s="108"/>
    </row>
    <row r="470" ht="15.75" customHeight="1">
      <c r="C470" s="108"/>
    </row>
    <row r="471" ht="15.75" customHeight="1">
      <c r="C471" s="108"/>
    </row>
    <row r="472" ht="15.75" customHeight="1">
      <c r="C472" s="108"/>
    </row>
    <row r="473" ht="15.75" customHeight="1">
      <c r="C473" s="108"/>
    </row>
    <row r="474" ht="15.75" customHeight="1">
      <c r="C474" s="108"/>
    </row>
    <row r="475" ht="15.75" customHeight="1">
      <c r="C475" s="108"/>
    </row>
    <row r="476" ht="15.75" customHeight="1">
      <c r="C476" s="108"/>
    </row>
    <row r="477" ht="15.75" customHeight="1">
      <c r="C477" s="108"/>
    </row>
    <row r="478" ht="15.75" customHeight="1">
      <c r="C478" s="108"/>
    </row>
    <row r="479" ht="15.75" customHeight="1">
      <c r="C479" s="108"/>
    </row>
    <row r="480" ht="15.75" customHeight="1">
      <c r="C480" s="108"/>
    </row>
    <row r="481" ht="15.75" customHeight="1">
      <c r="C481" s="108"/>
    </row>
    <row r="482" ht="15.75" customHeight="1">
      <c r="C482" s="108"/>
    </row>
    <row r="483" ht="15.75" customHeight="1">
      <c r="C483" s="108"/>
    </row>
    <row r="484" ht="15.75" customHeight="1">
      <c r="C484" s="108"/>
    </row>
    <row r="485" ht="15.75" customHeight="1">
      <c r="C485" s="108"/>
    </row>
    <row r="486" ht="15.75" customHeight="1">
      <c r="C486" s="108"/>
    </row>
    <row r="487" ht="15.75" customHeight="1">
      <c r="C487" s="108"/>
    </row>
    <row r="488" ht="15.75" customHeight="1">
      <c r="C488" s="108"/>
    </row>
    <row r="489" ht="15.75" customHeight="1">
      <c r="C489" s="108"/>
    </row>
    <row r="490" ht="15.75" customHeight="1">
      <c r="C490" s="108"/>
    </row>
    <row r="491" ht="15.75" customHeight="1">
      <c r="C491" s="108"/>
    </row>
    <row r="492" ht="15.75" customHeight="1">
      <c r="C492" s="108"/>
    </row>
    <row r="493" ht="15.75" customHeight="1">
      <c r="C493" s="108"/>
    </row>
    <row r="494" ht="15.75" customHeight="1">
      <c r="C494" s="108"/>
    </row>
    <row r="495" ht="15.75" customHeight="1">
      <c r="C495" s="108"/>
    </row>
    <row r="496" ht="15.75" customHeight="1">
      <c r="C496" s="108"/>
    </row>
    <row r="497" ht="15.75" customHeight="1">
      <c r="C497" s="108"/>
    </row>
    <row r="498" ht="15.75" customHeight="1">
      <c r="C498" s="108"/>
    </row>
    <row r="499" ht="15.75" customHeight="1">
      <c r="C499" s="108"/>
    </row>
    <row r="500" ht="15.75" customHeight="1">
      <c r="C500" s="108"/>
    </row>
    <row r="501" ht="15.75" customHeight="1">
      <c r="C501" s="108"/>
    </row>
    <row r="502" ht="15.75" customHeight="1">
      <c r="C502" s="108"/>
    </row>
    <row r="503" ht="15.75" customHeight="1">
      <c r="C503" s="108"/>
    </row>
    <row r="504" ht="15.75" customHeight="1">
      <c r="C504" s="108"/>
    </row>
    <row r="505" ht="15.75" customHeight="1">
      <c r="C505" s="108"/>
    </row>
    <row r="506" ht="15.75" customHeight="1">
      <c r="C506" s="108"/>
    </row>
    <row r="507" ht="15.75" customHeight="1">
      <c r="C507" s="108"/>
    </row>
    <row r="508" ht="15.75" customHeight="1">
      <c r="C508" s="108"/>
    </row>
    <row r="509" ht="15.75" customHeight="1">
      <c r="C509" s="108"/>
    </row>
    <row r="510" ht="15.75" customHeight="1">
      <c r="C510" s="108"/>
    </row>
    <row r="511" ht="15.75" customHeight="1">
      <c r="C511" s="108"/>
    </row>
    <row r="512" ht="15.75" customHeight="1">
      <c r="C512" s="108"/>
    </row>
    <row r="513" ht="15.75" customHeight="1">
      <c r="C513" s="108"/>
    </row>
    <row r="514" ht="15.75" customHeight="1">
      <c r="C514" s="108"/>
    </row>
    <row r="515" ht="15.75" customHeight="1">
      <c r="C515" s="108"/>
    </row>
    <row r="516" ht="15.75" customHeight="1">
      <c r="C516" s="108"/>
    </row>
    <row r="517" ht="15.75" customHeight="1">
      <c r="C517" s="108"/>
    </row>
    <row r="518" ht="15.75" customHeight="1">
      <c r="C518" s="108"/>
    </row>
    <row r="519" ht="15.75" customHeight="1">
      <c r="C519" s="108"/>
    </row>
    <row r="520" ht="15.75" customHeight="1">
      <c r="C520" s="108"/>
    </row>
    <row r="521" ht="15.75" customHeight="1">
      <c r="C521" s="108"/>
    </row>
    <row r="522" ht="15.75" customHeight="1">
      <c r="C522" s="108"/>
    </row>
    <row r="523" ht="15.75" customHeight="1">
      <c r="C523" s="108"/>
    </row>
    <row r="524" ht="15.75" customHeight="1">
      <c r="C524" s="108"/>
    </row>
    <row r="525" ht="15.75" customHeight="1">
      <c r="C525" s="108"/>
    </row>
    <row r="526" ht="15.75" customHeight="1">
      <c r="C526" s="108"/>
    </row>
    <row r="527" ht="15.75" customHeight="1">
      <c r="C527" s="108"/>
    </row>
    <row r="528" ht="15.75" customHeight="1">
      <c r="C528" s="108"/>
    </row>
    <row r="529" ht="15.75" customHeight="1">
      <c r="C529" s="108"/>
    </row>
    <row r="530" ht="15.75" customHeight="1">
      <c r="C530" s="108"/>
    </row>
    <row r="531" ht="15.75" customHeight="1">
      <c r="C531" s="108"/>
    </row>
    <row r="532" ht="15.75" customHeight="1">
      <c r="C532" s="108"/>
    </row>
    <row r="533" ht="15.75" customHeight="1">
      <c r="C533" s="108"/>
    </row>
    <row r="534" ht="15.75" customHeight="1">
      <c r="C534" s="108"/>
    </row>
    <row r="535" ht="15.75" customHeight="1">
      <c r="C535" s="108"/>
    </row>
    <row r="536" ht="15.75" customHeight="1">
      <c r="C536" s="108"/>
    </row>
    <row r="537" ht="15.75" customHeight="1">
      <c r="C537" s="108"/>
    </row>
    <row r="538" ht="15.75" customHeight="1">
      <c r="C538" s="108"/>
    </row>
    <row r="539" ht="15.75" customHeight="1">
      <c r="C539" s="108"/>
    </row>
    <row r="540" ht="15.75" customHeight="1">
      <c r="C540" s="108"/>
    </row>
    <row r="541" ht="15.75" customHeight="1">
      <c r="C541" s="108"/>
    </row>
    <row r="542" ht="15.75" customHeight="1">
      <c r="C542" s="108"/>
    </row>
    <row r="543" ht="15.75" customHeight="1">
      <c r="C543" s="108"/>
    </row>
    <row r="544" ht="15.75" customHeight="1">
      <c r="C544" s="108"/>
    </row>
    <row r="545" ht="15.75" customHeight="1">
      <c r="C545" s="108"/>
    </row>
    <row r="546" ht="15.75" customHeight="1">
      <c r="C546" s="108"/>
    </row>
    <row r="547" ht="15.75" customHeight="1">
      <c r="C547" s="108"/>
    </row>
    <row r="548" ht="15.75" customHeight="1">
      <c r="C548" s="108"/>
    </row>
    <row r="549" ht="15.75" customHeight="1">
      <c r="C549" s="108"/>
    </row>
    <row r="550" ht="15.75" customHeight="1">
      <c r="C550" s="108"/>
    </row>
    <row r="551" ht="15.75" customHeight="1">
      <c r="C551" s="108"/>
    </row>
    <row r="552" ht="15.75" customHeight="1">
      <c r="C552" s="108"/>
    </row>
    <row r="553" ht="15.75" customHeight="1">
      <c r="C553" s="108"/>
    </row>
    <row r="554" ht="15.75" customHeight="1">
      <c r="C554" s="108"/>
    </row>
    <row r="555" ht="15.75" customHeight="1">
      <c r="C555" s="108"/>
    </row>
    <row r="556" ht="15.75" customHeight="1">
      <c r="C556" s="108"/>
    </row>
    <row r="557" ht="15.75" customHeight="1">
      <c r="C557" s="108"/>
    </row>
    <row r="558" ht="15.75" customHeight="1">
      <c r="C558" s="108"/>
    </row>
    <row r="559" ht="15.75" customHeight="1">
      <c r="C559" s="108"/>
    </row>
    <row r="560" ht="15.75" customHeight="1">
      <c r="C560" s="108"/>
    </row>
    <row r="561" ht="15.75" customHeight="1">
      <c r="C561" s="108"/>
    </row>
    <row r="562" ht="15.75" customHeight="1">
      <c r="C562" s="108"/>
    </row>
    <row r="563" ht="15.75" customHeight="1">
      <c r="C563" s="108"/>
    </row>
    <row r="564" ht="15.75" customHeight="1">
      <c r="C564" s="108"/>
    </row>
    <row r="565" ht="15.75" customHeight="1">
      <c r="C565" s="108"/>
    </row>
    <row r="566" ht="15.75" customHeight="1">
      <c r="C566" s="108"/>
    </row>
    <row r="567" ht="15.75" customHeight="1">
      <c r="C567" s="108"/>
    </row>
    <row r="568" ht="15.75" customHeight="1">
      <c r="C568" s="108"/>
    </row>
    <row r="569" ht="15.75" customHeight="1">
      <c r="C569" s="108"/>
    </row>
    <row r="570" ht="15.75" customHeight="1">
      <c r="C570" s="108"/>
    </row>
    <row r="571" ht="15.75" customHeight="1">
      <c r="C571" s="108"/>
    </row>
    <row r="572" ht="15.75" customHeight="1">
      <c r="C572" s="108"/>
    </row>
    <row r="573" ht="15.75" customHeight="1">
      <c r="C573" s="108"/>
    </row>
    <row r="574" ht="15.75" customHeight="1">
      <c r="C574" s="108"/>
    </row>
    <row r="575" ht="15.75" customHeight="1">
      <c r="C575" s="108"/>
    </row>
    <row r="576" ht="15.75" customHeight="1">
      <c r="C576" s="108"/>
    </row>
    <row r="577" ht="15.75" customHeight="1">
      <c r="C577" s="108"/>
    </row>
    <row r="578" ht="15.75" customHeight="1">
      <c r="C578" s="108"/>
    </row>
    <row r="579" ht="15.75" customHeight="1">
      <c r="C579" s="108"/>
    </row>
    <row r="580" ht="15.75" customHeight="1">
      <c r="C580" s="108"/>
    </row>
    <row r="581" ht="15.75" customHeight="1">
      <c r="C581" s="108"/>
    </row>
    <row r="582" ht="15.75" customHeight="1">
      <c r="C582" s="108"/>
    </row>
    <row r="583" ht="15.75" customHeight="1">
      <c r="C583" s="108"/>
    </row>
    <row r="584" ht="15.75" customHeight="1">
      <c r="C584" s="108"/>
    </row>
    <row r="585" ht="15.75" customHeight="1">
      <c r="C585" s="108"/>
    </row>
    <row r="586" ht="15.75" customHeight="1">
      <c r="C586" s="108"/>
    </row>
    <row r="587" ht="15.75" customHeight="1">
      <c r="C587" s="108"/>
    </row>
    <row r="588" ht="15.75" customHeight="1">
      <c r="C588" s="108"/>
    </row>
    <row r="589" ht="15.75" customHeight="1">
      <c r="C589" s="108"/>
    </row>
    <row r="590" ht="15.75" customHeight="1">
      <c r="C590" s="108"/>
    </row>
    <row r="591" ht="15.75" customHeight="1">
      <c r="C591" s="108"/>
    </row>
    <row r="592" ht="15.75" customHeight="1">
      <c r="C592" s="108"/>
    </row>
    <row r="593" ht="15.75" customHeight="1">
      <c r="C593" s="108"/>
    </row>
    <row r="594" ht="15.75" customHeight="1">
      <c r="C594" s="108"/>
    </row>
    <row r="595" ht="15.75" customHeight="1">
      <c r="C595" s="108"/>
    </row>
    <row r="596" ht="15.75" customHeight="1">
      <c r="C596" s="108"/>
    </row>
    <row r="597" ht="15.75" customHeight="1">
      <c r="C597" s="108"/>
    </row>
    <row r="598" ht="15.75" customHeight="1">
      <c r="C598" s="108"/>
    </row>
    <row r="599" ht="15.75" customHeight="1">
      <c r="C599" s="108"/>
    </row>
    <row r="600" ht="15.75" customHeight="1">
      <c r="C600" s="108"/>
    </row>
    <row r="601" ht="15.75" customHeight="1">
      <c r="C601" s="108"/>
    </row>
    <row r="602" ht="15.75" customHeight="1">
      <c r="C602" s="108"/>
    </row>
    <row r="603" ht="15.75" customHeight="1">
      <c r="C603" s="108"/>
    </row>
    <row r="604" ht="15.75" customHeight="1">
      <c r="C604" s="108"/>
    </row>
    <row r="605" ht="15.75" customHeight="1">
      <c r="C605" s="108"/>
    </row>
    <row r="606" ht="15.75" customHeight="1">
      <c r="C606" s="108"/>
    </row>
    <row r="607" ht="15.75" customHeight="1">
      <c r="C607" s="108"/>
    </row>
    <row r="608" ht="15.75" customHeight="1">
      <c r="C608" s="108"/>
    </row>
    <row r="609" ht="15.75" customHeight="1">
      <c r="C609" s="108"/>
    </row>
    <row r="610" ht="15.75" customHeight="1">
      <c r="C610" s="108"/>
    </row>
    <row r="611" ht="15.75" customHeight="1">
      <c r="C611" s="108"/>
    </row>
    <row r="612" ht="15.75" customHeight="1">
      <c r="C612" s="108"/>
    </row>
    <row r="613" ht="15.75" customHeight="1">
      <c r="C613" s="108"/>
    </row>
    <row r="614" ht="15.75" customHeight="1">
      <c r="C614" s="108"/>
    </row>
    <row r="615" ht="15.75" customHeight="1">
      <c r="C615" s="108"/>
    </row>
    <row r="616" ht="15.75" customHeight="1">
      <c r="C616" s="108"/>
    </row>
    <row r="617" ht="15.75" customHeight="1">
      <c r="C617" s="108"/>
    </row>
    <row r="618" ht="15.75" customHeight="1">
      <c r="C618" s="108"/>
    </row>
    <row r="619" ht="15.75" customHeight="1">
      <c r="C619" s="108"/>
    </row>
    <row r="620" ht="15.75" customHeight="1">
      <c r="C620" s="108"/>
    </row>
    <row r="621" ht="15.75" customHeight="1">
      <c r="C621" s="108"/>
    </row>
    <row r="622" ht="15.75" customHeight="1">
      <c r="C622" s="108"/>
    </row>
    <row r="623" ht="15.75" customHeight="1">
      <c r="C623" s="108"/>
    </row>
    <row r="624" ht="15.75" customHeight="1">
      <c r="C624" s="108"/>
    </row>
    <row r="625" ht="15.75" customHeight="1">
      <c r="C625" s="108"/>
    </row>
    <row r="626" ht="15.75" customHeight="1">
      <c r="C626" s="108"/>
    </row>
    <row r="627" ht="15.75" customHeight="1">
      <c r="C627" s="108"/>
    </row>
    <row r="628" ht="15.75" customHeight="1">
      <c r="C628" s="108"/>
    </row>
    <row r="629" ht="15.75" customHeight="1">
      <c r="C629" s="108"/>
    </row>
    <row r="630" ht="15.75" customHeight="1">
      <c r="C630" s="108"/>
    </row>
    <row r="631" ht="15.75" customHeight="1">
      <c r="C631" s="108"/>
    </row>
    <row r="632" ht="15.75" customHeight="1">
      <c r="C632" s="108"/>
    </row>
    <row r="633" ht="15.75" customHeight="1">
      <c r="C633" s="108"/>
    </row>
    <row r="634" ht="15.75" customHeight="1">
      <c r="C634" s="108"/>
    </row>
    <row r="635" ht="15.75" customHeight="1">
      <c r="C635" s="108"/>
    </row>
    <row r="636" ht="15.75" customHeight="1">
      <c r="C636" s="108"/>
    </row>
    <row r="637" ht="15.75" customHeight="1">
      <c r="C637" s="108"/>
    </row>
    <row r="638" ht="15.75" customHeight="1">
      <c r="C638" s="108"/>
    </row>
    <row r="639" ht="15.75" customHeight="1">
      <c r="C639" s="108"/>
    </row>
    <row r="640" ht="15.75" customHeight="1">
      <c r="C640" s="108"/>
    </row>
    <row r="641" ht="15.75" customHeight="1">
      <c r="C641" s="108"/>
    </row>
    <row r="642" ht="15.75" customHeight="1">
      <c r="C642" s="108"/>
    </row>
    <row r="643" ht="15.75" customHeight="1">
      <c r="C643" s="108"/>
    </row>
    <row r="644" ht="15.75" customHeight="1">
      <c r="C644" s="108"/>
    </row>
    <row r="645" ht="15.75" customHeight="1">
      <c r="C645" s="108"/>
    </row>
    <row r="646" ht="15.75" customHeight="1">
      <c r="C646" s="108"/>
    </row>
    <row r="647" ht="15.75" customHeight="1">
      <c r="C647" s="108"/>
    </row>
    <row r="648" ht="15.75" customHeight="1">
      <c r="C648" s="108"/>
    </row>
    <row r="649" ht="15.75" customHeight="1">
      <c r="C649" s="108"/>
    </row>
    <row r="650" ht="15.75" customHeight="1">
      <c r="C650" s="108"/>
    </row>
    <row r="651" ht="15.75" customHeight="1">
      <c r="C651" s="108"/>
    </row>
    <row r="652" ht="15.75" customHeight="1">
      <c r="C652" s="108"/>
    </row>
    <row r="653" ht="15.75" customHeight="1">
      <c r="C653" s="108"/>
    </row>
    <row r="654" ht="15.75" customHeight="1">
      <c r="C654" s="108"/>
    </row>
    <row r="655" ht="15.75" customHeight="1">
      <c r="C655" s="108"/>
    </row>
    <row r="656" ht="15.75" customHeight="1">
      <c r="C656" s="108"/>
    </row>
    <row r="657" ht="15.75" customHeight="1">
      <c r="C657" s="108"/>
    </row>
    <row r="658" ht="15.75" customHeight="1">
      <c r="C658" s="108"/>
    </row>
    <row r="659" ht="15.75" customHeight="1">
      <c r="C659" s="108"/>
    </row>
    <row r="660" ht="15.75" customHeight="1">
      <c r="C660" s="108"/>
    </row>
    <row r="661" ht="15.75" customHeight="1">
      <c r="C661" s="108"/>
    </row>
    <row r="662" ht="15.75" customHeight="1">
      <c r="C662" s="108"/>
    </row>
    <row r="663" ht="15.75" customHeight="1">
      <c r="C663" s="108"/>
    </row>
    <row r="664" ht="15.75" customHeight="1">
      <c r="C664" s="108"/>
    </row>
    <row r="665" ht="15.75" customHeight="1">
      <c r="C665" s="108"/>
    </row>
    <row r="666" ht="15.75" customHeight="1">
      <c r="C666" s="108"/>
    </row>
    <row r="667" ht="15.75" customHeight="1">
      <c r="C667" s="108"/>
    </row>
    <row r="668" ht="15.75" customHeight="1">
      <c r="C668" s="108"/>
    </row>
    <row r="669" ht="15.75" customHeight="1">
      <c r="C669" s="108"/>
    </row>
    <row r="670" ht="15.75" customHeight="1">
      <c r="C670" s="108"/>
    </row>
    <row r="671" ht="15.75" customHeight="1">
      <c r="C671" s="108"/>
    </row>
    <row r="672" ht="15.75" customHeight="1">
      <c r="C672" s="108"/>
    </row>
    <row r="673" ht="15.75" customHeight="1">
      <c r="C673" s="108"/>
    </row>
    <row r="674" ht="15.75" customHeight="1">
      <c r="C674" s="108"/>
    </row>
    <row r="675" ht="15.75" customHeight="1">
      <c r="C675" s="108"/>
    </row>
    <row r="676" ht="15.75" customHeight="1">
      <c r="C676" s="108"/>
    </row>
    <row r="677" ht="15.75" customHeight="1">
      <c r="C677" s="108"/>
    </row>
    <row r="678" ht="15.75" customHeight="1">
      <c r="C678" s="108"/>
    </row>
    <row r="679" ht="15.75" customHeight="1">
      <c r="C679" s="108"/>
    </row>
    <row r="680" ht="15.75" customHeight="1">
      <c r="C680" s="108"/>
    </row>
    <row r="681" ht="15.75" customHeight="1">
      <c r="C681" s="108"/>
    </row>
    <row r="682" ht="15.75" customHeight="1">
      <c r="C682" s="108"/>
    </row>
    <row r="683" ht="15.75" customHeight="1">
      <c r="C683" s="108"/>
    </row>
    <row r="684" ht="15.75" customHeight="1">
      <c r="C684" s="108"/>
    </row>
    <row r="685" ht="15.75" customHeight="1">
      <c r="C685" s="108"/>
    </row>
    <row r="686" ht="15.75" customHeight="1">
      <c r="C686" s="108"/>
    </row>
    <row r="687" ht="15.75" customHeight="1">
      <c r="C687" s="108"/>
    </row>
    <row r="688" ht="15.75" customHeight="1">
      <c r="C688" s="108"/>
    </row>
    <row r="689" ht="15.75" customHeight="1">
      <c r="C689" s="108"/>
    </row>
    <row r="690" ht="15.75" customHeight="1">
      <c r="C690" s="108"/>
    </row>
    <row r="691" ht="15.75" customHeight="1">
      <c r="C691" s="108"/>
    </row>
    <row r="692" ht="15.75" customHeight="1">
      <c r="C692" s="108"/>
    </row>
    <row r="693" ht="15.75" customHeight="1">
      <c r="C693" s="108"/>
    </row>
    <row r="694" ht="15.75" customHeight="1">
      <c r="C694" s="108"/>
    </row>
    <row r="695" ht="15.75" customHeight="1">
      <c r="C695" s="108"/>
    </row>
    <row r="696" ht="15.75" customHeight="1">
      <c r="C696" s="108"/>
    </row>
    <row r="697" ht="15.75" customHeight="1">
      <c r="C697" s="108"/>
    </row>
    <row r="698" ht="15.75" customHeight="1">
      <c r="C698" s="108"/>
    </row>
    <row r="699" ht="15.75" customHeight="1">
      <c r="C699" s="108"/>
    </row>
    <row r="700" ht="15.75" customHeight="1">
      <c r="C700" s="108"/>
    </row>
    <row r="701" ht="15.75" customHeight="1">
      <c r="C701" s="108"/>
    </row>
    <row r="702" ht="15.75" customHeight="1">
      <c r="C702" s="108"/>
    </row>
    <row r="703" ht="15.75" customHeight="1">
      <c r="C703" s="108"/>
    </row>
    <row r="704" ht="15.75" customHeight="1">
      <c r="C704" s="108"/>
    </row>
    <row r="705" ht="15.75" customHeight="1">
      <c r="C705" s="108"/>
    </row>
    <row r="706" ht="15.75" customHeight="1">
      <c r="C706" s="108"/>
    </row>
    <row r="707" ht="15.75" customHeight="1">
      <c r="C707" s="108"/>
    </row>
    <row r="708" ht="15.75" customHeight="1">
      <c r="C708" s="108"/>
    </row>
    <row r="709" ht="15.75" customHeight="1">
      <c r="C709" s="108"/>
    </row>
    <row r="710" ht="15.75" customHeight="1">
      <c r="C710" s="108"/>
    </row>
    <row r="711" ht="15.75" customHeight="1">
      <c r="C711" s="108"/>
    </row>
    <row r="712" ht="15.75" customHeight="1">
      <c r="C712" s="108"/>
    </row>
    <row r="713" ht="15.75" customHeight="1">
      <c r="C713" s="108"/>
    </row>
    <row r="714" ht="15.75" customHeight="1">
      <c r="C714" s="108"/>
    </row>
    <row r="715" ht="15.75" customHeight="1">
      <c r="C715" s="108"/>
    </row>
    <row r="716" ht="15.75" customHeight="1">
      <c r="C716" s="108"/>
    </row>
    <row r="717" ht="15.75" customHeight="1">
      <c r="C717" s="108"/>
    </row>
    <row r="718" ht="15.75" customHeight="1">
      <c r="C718" s="108"/>
    </row>
    <row r="719" ht="15.75" customHeight="1">
      <c r="C719" s="108"/>
    </row>
    <row r="720" ht="15.75" customHeight="1">
      <c r="C720" s="108"/>
    </row>
    <row r="721" ht="15.75" customHeight="1">
      <c r="C721" s="108"/>
    </row>
    <row r="722" ht="15.75" customHeight="1">
      <c r="C722" s="108"/>
    </row>
    <row r="723" ht="15.75" customHeight="1">
      <c r="C723" s="108"/>
    </row>
    <row r="724" ht="15.75" customHeight="1">
      <c r="C724" s="108"/>
    </row>
    <row r="725" ht="15.75" customHeight="1">
      <c r="C725" s="108"/>
    </row>
    <row r="726" ht="15.75" customHeight="1">
      <c r="C726" s="108"/>
    </row>
    <row r="727" ht="15.75" customHeight="1">
      <c r="C727" s="108"/>
    </row>
    <row r="728" ht="15.75" customHeight="1">
      <c r="C728" s="108"/>
    </row>
    <row r="729" ht="15.75" customHeight="1">
      <c r="C729" s="108"/>
    </row>
    <row r="730" ht="15.75" customHeight="1">
      <c r="C730" s="108"/>
    </row>
    <row r="731" ht="15.75" customHeight="1">
      <c r="C731" s="108"/>
    </row>
    <row r="732" ht="15.75" customHeight="1">
      <c r="C732" s="108"/>
    </row>
    <row r="733" ht="15.75" customHeight="1">
      <c r="C733" s="108"/>
    </row>
    <row r="734" ht="15.75" customHeight="1">
      <c r="C734" s="108"/>
    </row>
    <row r="735" ht="15.75" customHeight="1">
      <c r="C735" s="108"/>
    </row>
    <row r="736" ht="15.75" customHeight="1">
      <c r="C736" s="108"/>
    </row>
    <row r="737" ht="15.75" customHeight="1">
      <c r="C737" s="108"/>
    </row>
    <row r="738" ht="15.75" customHeight="1">
      <c r="C738" s="108"/>
    </row>
    <row r="739" ht="15.75" customHeight="1">
      <c r="C739" s="108"/>
    </row>
    <row r="740" ht="15.75" customHeight="1">
      <c r="C740" s="108"/>
    </row>
    <row r="741" ht="15.75" customHeight="1">
      <c r="C741" s="108"/>
    </row>
    <row r="742" ht="15.75" customHeight="1">
      <c r="C742" s="108"/>
    </row>
    <row r="743" ht="15.75" customHeight="1">
      <c r="C743" s="108"/>
    </row>
    <row r="744" ht="15.75" customHeight="1">
      <c r="C744" s="108"/>
    </row>
    <row r="745" ht="15.75" customHeight="1">
      <c r="C745" s="108"/>
    </row>
    <row r="746" ht="15.75" customHeight="1">
      <c r="C746" s="108"/>
    </row>
    <row r="747" ht="15.75" customHeight="1">
      <c r="C747" s="108"/>
    </row>
    <row r="748" ht="15.75" customHeight="1">
      <c r="C748" s="108"/>
    </row>
    <row r="749" ht="15.75" customHeight="1">
      <c r="C749" s="108"/>
    </row>
    <row r="750" ht="15.75" customHeight="1">
      <c r="C750" s="108"/>
    </row>
    <row r="751" ht="15.75" customHeight="1">
      <c r="C751" s="108"/>
    </row>
    <row r="752" ht="15.75" customHeight="1">
      <c r="C752" s="108"/>
    </row>
    <row r="753" ht="15.75" customHeight="1">
      <c r="C753" s="108"/>
    </row>
    <row r="754" ht="15.75" customHeight="1">
      <c r="C754" s="108"/>
    </row>
    <row r="755" ht="15.75" customHeight="1">
      <c r="C755" s="108"/>
    </row>
    <row r="756" ht="15.75" customHeight="1">
      <c r="C756" s="108"/>
    </row>
    <row r="757" ht="15.75" customHeight="1">
      <c r="C757" s="108"/>
    </row>
    <row r="758" ht="15.75" customHeight="1">
      <c r="C758" s="108"/>
    </row>
    <row r="759" ht="15.75" customHeight="1">
      <c r="C759" s="108"/>
    </row>
    <row r="760" ht="15.75" customHeight="1">
      <c r="C760" s="108"/>
    </row>
    <row r="761" ht="15.75" customHeight="1">
      <c r="C761" s="108"/>
    </row>
    <row r="762" ht="15.75" customHeight="1">
      <c r="C762" s="108"/>
    </row>
    <row r="763" ht="15.75" customHeight="1">
      <c r="C763" s="108"/>
    </row>
    <row r="764" ht="15.75" customHeight="1">
      <c r="C764" s="108"/>
    </row>
    <row r="765" ht="15.75" customHeight="1">
      <c r="C765" s="108"/>
    </row>
    <row r="766" ht="15.75" customHeight="1">
      <c r="C766" s="108"/>
    </row>
    <row r="767" ht="15.75" customHeight="1">
      <c r="C767" s="108"/>
    </row>
    <row r="768" ht="15.75" customHeight="1">
      <c r="C768" s="108"/>
    </row>
    <row r="769" ht="15.75" customHeight="1">
      <c r="C769" s="108"/>
    </row>
    <row r="770" ht="15.75" customHeight="1">
      <c r="C770" s="108"/>
    </row>
    <row r="771" ht="15.75" customHeight="1">
      <c r="C771" s="108"/>
    </row>
    <row r="772" ht="15.75" customHeight="1">
      <c r="C772" s="108"/>
    </row>
    <row r="773" ht="15.75" customHeight="1">
      <c r="C773" s="108"/>
    </row>
    <row r="774" ht="15.75" customHeight="1">
      <c r="C774" s="108"/>
    </row>
    <row r="775" ht="15.75" customHeight="1">
      <c r="C775" s="108"/>
    </row>
    <row r="776" ht="15.75" customHeight="1">
      <c r="C776" s="108"/>
    </row>
    <row r="777" ht="15.75" customHeight="1">
      <c r="C777" s="108"/>
    </row>
    <row r="778" ht="15.75" customHeight="1">
      <c r="C778" s="108"/>
    </row>
    <row r="779" ht="15.75" customHeight="1">
      <c r="C779" s="108"/>
    </row>
    <row r="780" ht="15.75" customHeight="1">
      <c r="C780" s="108"/>
    </row>
    <row r="781" ht="15.75" customHeight="1">
      <c r="C781" s="108"/>
    </row>
    <row r="782" ht="15.75" customHeight="1">
      <c r="C782" s="108"/>
    </row>
    <row r="783" ht="15.75" customHeight="1">
      <c r="C783" s="108"/>
    </row>
    <row r="784" ht="15.75" customHeight="1">
      <c r="C784" s="108"/>
    </row>
    <row r="785" ht="15.75" customHeight="1">
      <c r="C785" s="108"/>
    </row>
    <row r="786" ht="15.75" customHeight="1">
      <c r="C786" s="108"/>
    </row>
    <row r="787" ht="15.75" customHeight="1">
      <c r="C787" s="108"/>
    </row>
    <row r="788" ht="15.75" customHeight="1">
      <c r="C788" s="108"/>
    </row>
    <row r="789" ht="15.75" customHeight="1">
      <c r="C789" s="108"/>
    </row>
    <row r="790" ht="15.75" customHeight="1">
      <c r="C790" s="108"/>
    </row>
    <row r="791" ht="15.75" customHeight="1">
      <c r="C791" s="108"/>
    </row>
    <row r="792" ht="15.75" customHeight="1">
      <c r="C792" s="108"/>
    </row>
    <row r="793" ht="15.75" customHeight="1">
      <c r="C793" s="108"/>
    </row>
    <row r="794" ht="15.75" customHeight="1">
      <c r="C794" s="108"/>
    </row>
    <row r="795" ht="15.75" customHeight="1">
      <c r="C795" s="108"/>
    </row>
    <row r="796" ht="15.75" customHeight="1">
      <c r="C796" s="108"/>
    </row>
    <row r="797" ht="15.75" customHeight="1">
      <c r="C797" s="108"/>
    </row>
    <row r="798" ht="15.75" customHeight="1">
      <c r="C798" s="108"/>
    </row>
    <row r="799" ht="15.75" customHeight="1">
      <c r="C799" s="108"/>
    </row>
    <row r="800" ht="15.75" customHeight="1">
      <c r="C800" s="108"/>
    </row>
    <row r="801" ht="15.75" customHeight="1">
      <c r="C801" s="108"/>
    </row>
    <row r="802" ht="15.75" customHeight="1">
      <c r="C802" s="108"/>
    </row>
    <row r="803" ht="15.75" customHeight="1">
      <c r="C803" s="108"/>
    </row>
    <row r="804" ht="15.75" customHeight="1">
      <c r="C804" s="108"/>
    </row>
    <row r="805" ht="15.75" customHeight="1">
      <c r="C805" s="108"/>
    </row>
    <row r="806" ht="15.75" customHeight="1">
      <c r="C806" s="108"/>
    </row>
    <row r="807" ht="15.75" customHeight="1">
      <c r="C807" s="108"/>
    </row>
    <row r="808" ht="15.75" customHeight="1">
      <c r="C808" s="108"/>
    </row>
    <row r="809" ht="15.75" customHeight="1">
      <c r="C809" s="108"/>
    </row>
    <row r="810" ht="15.75" customHeight="1">
      <c r="C810" s="108"/>
    </row>
    <row r="811" ht="15.75" customHeight="1">
      <c r="C811" s="108"/>
    </row>
    <row r="812" ht="15.75" customHeight="1">
      <c r="C812" s="108"/>
    </row>
    <row r="813" ht="15.75" customHeight="1">
      <c r="C813" s="108"/>
    </row>
    <row r="814" ht="15.75" customHeight="1">
      <c r="C814" s="108"/>
    </row>
    <row r="815" ht="15.75" customHeight="1">
      <c r="C815" s="108"/>
    </row>
    <row r="816" ht="15.75" customHeight="1">
      <c r="C816" s="108"/>
    </row>
    <row r="817" ht="15.75" customHeight="1">
      <c r="C817" s="108"/>
    </row>
    <row r="818" ht="15.75" customHeight="1">
      <c r="C818" s="108"/>
    </row>
    <row r="819" ht="15.75" customHeight="1">
      <c r="C819" s="108"/>
    </row>
    <row r="820" ht="15.75" customHeight="1">
      <c r="C820" s="108"/>
    </row>
    <row r="821" ht="15.75" customHeight="1">
      <c r="C821" s="108"/>
    </row>
    <row r="822" ht="15.75" customHeight="1">
      <c r="C822" s="108"/>
    </row>
    <row r="823" ht="15.75" customHeight="1">
      <c r="C823" s="108"/>
    </row>
    <row r="824" ht="15.75" customHeight="1">
      <c r="C824" s="108"/>
    </row>
    <row r="825" ht="15.75" customHeight="1">
      <c r="C825" s="108"/>
    </row>
    <row r="826" ht="15.75" customHeight="1">
      <c r="C826" s="108"/>
    </row>
    <row r="827" ht="15.75" customHeight="1">
      <c r="C827" s="108"/>
    </row>
    <row r="828" ht="15.75" customHeight="1">
      <c r="C828" s="108"/>
    </row>
    <row r="829" ht="15.75" customHeight="1">
      <c r="C829" s="108"/>
    </row>
    <row r="830" ht="15.75" customHeight="1">
      <c r="C830" s="108"/>
    </row>
    <row r="831" ht="15.75" customHeight="1">
      <c r="C831" s="108"/>
    </row>
    <row r="832" ht="15.75" customHeight="1">
      <c r="C832" s="108"/>
    </row>
    <row r="833" ht="15.75" customHeight="1">
      <c r="C833" s="108"/>
    </row>
    <row r="834" ht="15.75" customHeight="1">
      <c r="C834" s="108"/>
    </row>
    <row r="835" ht="15.75" customHeight="1">
      <c r="C835" s="108"/>
    </row>
    <row r="836" ht="15.75" customHeight="1">
      <c r="C836" s="108"/>
    </row>
    <row r="837" ht="15.75" customHeight="1">
      <c r="C837" s="108"/>
    </row>
    <row r="838" ht="15.75" customHeight="1">
      <c r="C838" s="108"/>
    </row>
    <row r="839" ht="15.75" customHeight="1">
      <c r="C839" s="108"/>
    </row>
    <row r="840" ht="15.75" customHeight="1">
      <c r="C840" s="108"/>
    </row>
    <row r="841" ht="15.75" customHeight="1">
      <c r="C841" s="108"/>
    </row>
    <row r="842" ht="15.75" customHeight="1">
      <c r="C842" s="108"/>
    </row>
    <row r="843" ht="15.75" customHeight="1">
      <c r="C843" s="108"/>
    </row>
    <row r="844" ht="15.75" customHeight="1">
      <c r="C844" s="108"/>
    </row>
    <row r="845" ht="15.75" customHeight="1">
      <c r="C845" s="108"/>
    </row>
    <row r="846" ht="15.75" customHeight="1">
      <c r="C846" s="108"/>
    </row>
    <row r="847" ht="15.75" customHeight="1">
      <c r="C847" s="108"/>
    </row>
    <row r="848" ht="15.75" customHeight="1">
      <c r="C848" s="108"/>
    </row>
    <row r="849" ht="15.75" customHeight="1">
      <c r="C849" s="108"/>
    </row>
    <row r="850" ht="15.75" customHeight="1">
      <c r="C850" s="108"/>
    </row>
    <row r="851" ht="15.75" customHeight="1">
      <c r="C851" s="108"/>
    </row>
    <row r="852" ht="15.75" customHeight="1">
      <c r="C852" s="108"/>
    </row>
    <row r="853" ht="15.75" customHeight="1">
      <c r="C853" s="108"/>
    </row>
    <row r="854" ht="15.75" customHeight="1">
      <c r="C854" s="108"/>
    </row>
    <row r="855" ht="15.75" customHeight="1">
      <c r="C855" s="108"/>
    </row>
    <row r="856" ht="15.75" customHeight="1">
      <c r="C856" s="108"/>
    </row>
    <row r="857" ht="15.75" customHeight="1">
      <c r="C857" s="108"/>
    </row>
    <row r="858" ht="15.75" customHeight="1">
      <c r="C858" s="108"/>
    </row>
    <row r="859" ht="15.75" customHeight="1">
      <c r="C859" s="108"/>
    </row>
    <row r="860" ht="15.75" customHeight="1">
      <c r="C860" s="108"/>
    </row>
    <row r="861" ht="15.75" customHeight="1">
      <c r="C861" s="108"/>
    </row>
    <row r="862" ht="15.75" customHeight="1">
      <c r="C862" s="108"/>
    </row>
    <row r="863" ht="15.75" customHeight="1">
      <c r="C863" s="108"/>
    </row>
    <row r="864" ht="15.75" customHeight="1">
      <c r="C864" s="108"/>
    </row>
    <row r="865" ht="15.75" customHeight="1">
      <c r="C865" s="108"/>
    </row>
    <row r="866" ht="15.75" customHeight="1">
      <c r="C866" s="108"/>
    </row>
    <row r="867" ht="15.75" customHeight="1">
      <c r="C867" s="108"/>
    </row>
    <row r="868" ht="15.75" customHeight="1">
      <c r="C868" s="108"/>
    </row>
    <row r="869" ht="15.75" customHeight="1">
      <c r="C869" s="108"/>
    </row>
    <row r="870" ht="15.75" customHeight="1">
      <c r="C870" s="108"/>
    </row>
    <row r="871" ht="15.75" customHeight="1">
      <c r="C871" s="108"/>
    </row>
    <row r="872" ht="15.75" customHeight="1">
      <c r="C872" s="108"/>
    </row>
    <row r="873" ht="15.75" customHeight="1">
      <c r="C873" s="108"/>
    </row>
    <row r="874" ht="15.75" customHeight="1">
      <c r="C874" s="108"/>
    </row>
    <row r="875" ht="15.75" customHeight="1">
      <c r="C875" s="108"/>
    </row>
    <row r="876" ht="15.75" customHeight="1">
      <c r="C876" s="108"/>
    </row>
    <row r="877" ht="15.75" customHeight="1">
      <c r="C877" s="108"/>
    </row>
    <row r="878" ht="15.75" customHeight="1">
      <c r="C878" s="108"/>
    </row>
    <row r="879" ht="15.75" customHeight="1">
      <c r="C879" s="108"/>
    </row>
    <row r="880" ht="15.75" customHeight="1">
      <c r="C880" s="108"/>
    </row>
    <row r="881" ht="15.75" customHeight="1">
      <c r="C881" s="108"/>
    </row>
    <row r="882" ht="15.75" customHeight="1">
      <c r="C882" s="108"/>
    </row>
    <row r="883" ht="15.75" customHeight="1">
      <c r="C883" s="108"/>
    </row>
    <row r="884" ht="15.75" customHeight="1">
      <c r="C884" s="108"/>
    </row>
    <row r="885" ht="15.75" customHeight="1">
      <c r="C885" s="108"/>
    </row>
    <row r="886" ht="15.75" customHeight="1">
      <c r="C886" s="108"/>
    </row>
    <row r="887" ht="15.75" customHeight="1">
      <c r="C887" s="108"/>
    </row>
    <row r="888" ht="15.75" customHeight="1">
      <c r="C888" s="108"/>
    </row>
    <row r="889" ht="15.75" customHeight="1">
      <c r="C889" s="108"/>
    </row>
    <row r="890" ht="15.75" customHeight="1">
      <c r="C890" s="108"/>
    </row>
    <row r="891" ht="15.75" customHeight="1">
      <c r="C891" s="108"/>
    </row>
    <row r="892" ht="15.75" customHeight="1">
      <c r="C892" s="108"/>
    </row>
    <row r="893" ht="15.75" customHeight="1">
      <c r="C893" s="108"/>
    </row>
    <row r="894" ht="15.75" customHeight="1">
      <c r="C894" s="108"/>
    </row>
    <row r="895" ht="15.75" customHeight="1">
      <c r="C895" s="108"/>
    </row>
    <row r="896" ht="15.75" customHeight="1">
      <c r="C896" s="108"/>
    </row>
    <row r="897" ht="15.75" customHeight="1">
      <c r="C897" s="108"/>
    </row>
    <row r="898" ht="15.75" customHeight="1">
      <c r="C898" s="108"/>
    </row>
    <row r="899" ht="15.75" customHeight="1">
      <c r="C899" s="108"/>
    </row>
    <row r="900" ht="15.75" customHeight="1">
      <c r="C900" s="108"/>
    </row>
    <row r="901" ht="15.75" customHeight="1">
      <c r="C901" s="108"/>
    </row>
    <row r="902" ht="15.75" customHeight="1">
      <c r="C902" s="108"/>
    </row>
    <row r="903" ht="15.75" customHeight="1">
      <c r="C903" s="108"/>
    </row>
    <row r="904" ht="15.75" customHeight="1">
      <c r="C904" s="108"/>
    </row>
    <row r="905" ht="15.75" customHeight="1">
      <c r="C905" s="108"/>
    </row>
    <row r="906" ht="15.75" customHeight="1">
      <c r="C906" s="108"/>
    </row>
    <row r="907" ht="15.75" customHeight="1">
      <c r="C907" s="108"/>
    </row>
    <row r="908" ht="15.75" customHeight="1">
      <c r="C908" s="108"/>
    </row>
    <row r="909" ht="15.75" customHeight="1">
      <c r="C909" s="108"/>
    </row>
    <row r="910" ht="15.75" customHeight="1">
      <c r="C910" s="108"/>
    </row>
    <row r="911" ht="15.75" customHeight="1">
      <c r="C911" s="108"/>
    </row>
    <row r="912" ht="15.75" customHeight="1">
      <c r="C912" s="108"/>
    </row>
    <row r="913" ht="15.75" customHeight="1">
      <c r="C913" s="108"/>
    </row>
    <row r="914" ht="15.75" customHeight="1">
      <c r="C914" s="108"/>
    </row>
    <row r="915" ht="15.75" customHeight="1">
      <c r="C915" s="108"/>
    </row>
    <row r="916" ht="15.75" customHeight="1">
      <c r="C916" s="108"/>
    </row>
    <row r="917" ht="15.75" customHeight="1">
      <c r="C917" s="108"/>
    </row>
    <row r="918" ht="15.75" customHeight="1">
      <c r="C918" s="108"/>
    </row>
    <row r="919" ht="15.75" customHeight="1">
      <c r="C919" s="108"/>
    </row>
    <row r="920" ht="15.75" customHeight="1">
      <c r="C920" s="108"/>
    </row>
    <row r="921" ht="15.75" customHeight="1">
      <c r="C921" s="108"/>
    </row>
    <row r="922" ht="15.75" customHeight="1">
      <c r="C922" s="108"/>
    </row>
    <row r="923" ht="15.75" customHeight="1">
      <c r="C923" s="108"/>
    </row>
    <row r="924" ht="15.75" customHeight="1">
      <c r="C924" s="108"/>
    </row>
    <row r="925" ht="15.75" customHeight="1">
      <c r="C925" s="108"/>
    </row>
    <row r="926" ht="15.75" customHeight="1">
      <c r="C926" s="108"/>
    </row>
    <row r="927" ht="15.75" customHeight="1">
      <c r="C927" s="108"/>
    </row>
    <row r="928" ht="15.75" customHeight="1">
      <c r="C928" s="108"/>
    </row>
    <row r="929" ht="15.75" customHeight="1">
      <c r="C929" s="108"/>
    </row>
    <row r="930" ht="15.75" customHeight="1">
      <c r="C930" s="108"/>
    </row>
    <row r="931" ht="15.75" customHeight="1">
      <c r="C931" s="108"/>
    </row>
    <row r="932" ht="15.75" customHeight="1">
      <c r="C932" s="108"/>
    </row>
    <row r="933" ht="15.75" customHeight="1">
      <c r="C933" s="108"/>
    </row>
    <row r="934" ht="15.75" customHeight="1">
      <c r="C934" s="108"/>
    </row>
    <row r="935" ht="15.75" customHeight="1">
      <c r="C935" s="108"/>
    </row>
    <row r="936" ht="15.75" customHeight="1">
      <c r="C936" s="108"/>
    </row>
    <row r="937" ht="15.75" customHeight="1">
      <c r="C937" s="108"/>
    </row>
    <row r="938" ht="15.75" customHeight="1">
      <c r="C938" s="108"/>
    </row>
    <row r="939" ht="15.75" customHeight="1">
      <c r="C939" s="108"/>
    </row>
    <row r="940" ht="15.75" customHeight="1">
      <c r="C940" s="108"/>
    </row>
    <row r="941" ht="15.75" customHeight="1">
      <c r="C941" s="108"/>
    </row>
    <row r="942" ht="15.75" customHeight="1">
      <c r="C942" s="108"/>
    </row>
    <row r="943" ht="15.75" customHeight="1">
      <c r="C943" s="108"/>
    </row>
    <row r="944" ht="15.75" customHeight="1">
      <c r="C944" s="108"/>
    </row>
    <row r="945" ht="15.75" customHeight="1">
      <c r="C945" s="108"/>
    </row>
    <row r="946" ht="15.75" customHeight="1">
      <c r="C946" s="108"/>
    </row>
    <row r="947" ht="15.75" customHeight="1">
      <c r="C947" s="108"/>
    </row>
    <row r="948" ht="15.75" customHeight="1">
      <c r="C948" s="108"/>
    </row>
    <row r="949" ht="15.75" customHeight="1">
      <c r="C949" s="108"/>
    </row>
    <row r="950" ht="15.75" customHeight="1">
      <c r="C950" s="108"/>
    </row>
    <row r="951" ht="15.75" customHeight="1">
      <c r="C951" s="108"/>
    </row>
    <row r="952" ht="15.75" customHeight="1">
      <c r="C952" s="108"/>
    </row>
    <row r="953" ht="15.75" customHeight="1">
      <c r="C953" s="108"/>
    </row>
    <row r="954" ht="15.75" customHeight="1">
      <c r="C954" s="108"/>
    </row>
    <row r="955" ht="15.75" customHeight="1">
      <c r="C955" s="108"/>
    </row>
    <row r="956" ht="15.75" customHeight="1">
      <c r="C956" s="108"/>
    </row>
    <row r="957" ht="15.75" customHeight="1">
      <c r="C957" s="108"/>
    </row>
    <row r="958" ht="15.75" customHeight="1">
      <c r="C958" s="108"/>
    </row>
    <row r="959" ht="15.75" customHeight="1">
      <c r="C959" s="108"/>
    </row>
    <row r="960" ht="15.75" customHeight="1">
      <c r="C960" s="108"/>
    </row>
    <row r="961" ht="15.75" customHeight="1">
      <c r="C961" s="108"/>
    </row>
    <row r="962" ht="15.75" customHeight="1">
      <c r="C962" s="108"/>
    </row>
    <row r="963" ht="15.75" customHeight="1">
      <c r="C963" s="108"/>
    </row>
    <row r="964" ht="15.75" customHeight="1">
      <c r="C964" s="108"/>
    </row>
    <row r="965" ht="15.75" customHeight="1">
      <c r="C965" s="108"/>
    </row>
    <row r="966" ht="15.75" customHeight="1">
      <c r="C966" s="108"/>
    </row>
    <row r="967" ht="15.75" customHeight="1">
      <c r="C967" s="108"/>
    </row>
    <row r="968" ht="15.75" customHeight="1">
      <c r="C968" s="108"/>
    </row>
    <row r="969" ht="15.75" customHeight="1">
      <c r="C969" s="108"/>
    </row>
    <row r="970" ht="15.75" customHeight="1">
      <c r="C970" s="108"/>
    </row>
    <row r="971" ht="15.75" customHeight="1">
      <c r="C971" s="108"/>
    </row>
    <row r="972" ht="15.75" customHeight="1">
      <c r="C972" s="108"/>
    </row>
    <row r="973" ht="15.75" customHeight="1">
      <c r="C973" s="108"/>
    </row>
    <row r="974" ht="15.75" customHeight="1">
      <c r="C974" s="108"/>
    </row>
    <row r="975" ht="15.75" customHeight="1">
      <c r="C975" s="108"/>
    </row>
    <row r="976" ht="15.75" customHeight="1">
      <c r="C976" s="108"/>
    </row>
    <row r="977" ht="15.75" customHeight="1">
      <c r="C977" s="108"/>
    </row>
    <row r="978" ht="15.75" customHeight="1">
      <c r="C978" s="108"/>
    </row>
    <row r="979" ht="15.75" customHeight="1">
      <c r="C979" s="108"/>
    </row>
    <row r="980" ht="15.75" customHeight="1">
      <c r="C980" s="108"/>
    </row>
    <row r="981" ht="15.75" customHeight="1">
      <c r="C981" s="108"/>
    </row>
    <row r="982" ht="15.75" customHeight="1">
      <c r="C982" s="108"/>
    </row>
    <row r="983" ht="15.75" customHeight="1">
      <c r="C983" s="108"/>
    </row>
    <row r="984" ht="15.75" customHeight="1">
      <c r="C984" s="108"/>
    </row>
    <row r="985" ht="15.75" customHeight="1">
      <c r="C985" s="108"/>
    </row>
    <row r="986" ht="15.75" customHeight="1">
      <c r="C986" s="108"/>
    </row>
    <row r="987" ht="15.75" customHeight="1"/>
  </sheetData>
  <mergeCells count="19">
    <mergeCell ref="I5:J5"/>
    <mergeCell ref="K5:K6"/>
    <mergeCell ref="B46:D46"/>
    <mergeCell ref="B47:D47"/>
    <mergeCell ref="B51:D51"/>
    <mergeCell ref="B52:D52"/>
    <mergeCell ref="O5:O6"/>
    <mergeCell ref="P5:P6"/>
    <mergeCell ref="M46:P46"/>
    <mergeCell ref="M47:P47"/>
    <mergeCell ref="M51:P51"/>
    <mergeCell ref="M52:P52"/>
    <mergeCell ref="A1:P1"/>
    <mergeCell ref="A2:P2"/>
    <mergeCell ref="A3:P3"/>
    <mergeCell ref="A5:A6"/>
    <mergeCell ref="B5:B6"/>
    <mergeCell ref="C5:C6"/>
    <mergeCell ref="D5:D6"/>
  </mergeCells>
  <printOptions/>
  <pageMargins bottom="0.4724409448818898" footer="0.0" header="0.0" left="0.2755905511811024" right="0.31496062992125984" top="0.5118110236220472"/>
  <pageSetup paperSize="5"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1.71"/>
    <col customWidth="1" min="3" max="3" width="7.57"/>
    <col customWidth="1" min="4" max="4" width="17.43"/>
    <col customWidth="1" min="5" max="5" width="5.86"/>
    <col customWidth="1" min="6" max="6" width="6.0"/>
    <col customWidth="1" min="7" max="7" width="7.43"/>
    <col customWidth="1" min="8" max="8" width="20.86"/>
    <col customWidth="1" min="9" max="26" width="8.71"/>
  </cols>
  <sheetData>
    <row r="1">
      <c r="A1" s="3" t="s">
        <v>2</v>
      </c>
    </row>
    <row r="2">
      <c r="A2" s="7" t="s">
        <v>7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9" t="s">
        <v>15</v>
      </c>
      <c r="B4" s="22" t="s">
        <v>19</v>
      </c>
      <c r="C4" s="19" t="s">
        <v>21</v>
      </c>
      <c r="D4" s="19" t="s">
        <v>23</v>
      </c>
      <c r="E4" s="28" t="s">
        <v>27</v>
      </c>
      <c r="F4" s="31"/>
      <c r="G4" s="33" t="s">
        <v>44</v>
      </c>
      <c r="H4" s="34"/>
    </row>
    <row r="5">
      <c r="A5" s="36"/>
      <c r="B5" s="38"/>
      <c r="C5" s="36"/>
      <c r="D5" s="36"/>
      <c r="E5" s="39" t="s">
        <v>57</v>
      </c>
      <c r="F5" s="40" t="s">
        <v>64</v>
      </c>
      <c r="G5" s="42"/>
      <c r="H5" s="43"/>
    </row>
    <row r="6">
      <c r="A6" s="46">
        <v>1.0</v>
      </c>
      <c r="B6" s="17" t="s">
        <v>10</v>
      </c>
      <c r="C6" s="48" t="s">
        <v>74</v>
      </c>
      <c r="D6" s="50">
        <v>44844.0</v>
      </c>
      <c r="E6" s="48">
        <v>21.0</v>
      </c>
      <c r="F6" s="48">
        <v>10.0</v>
      </c>
      <c r="G6" s="46"/>
      <c r="H6" s="53"/>
    </row>
    <row r="7">
      <c r="A7" s="46">
        <v>2.0</v>
      </c>
      <c r="B7" s="17" t="s">
        <v>16</v>
      </c>
      <c r="C7" s="48" t="s">
        <v>18</v>
      </c>
      <c r="D7" s="50">
        <v>45017.0</v>
      </c>
      <c r="E7" s="48">
        <v>14.0</v>
      </c>
      <c r="F7" s="48">
        <v>2.0</v>
      </c>
      <c r="G7" s="46" t="s">
        <v>12</v>
      </c>
      <c r="H7" s="53">
        <v>46296.0</v>
      </c>
    </row>
    <row r="8">
      <c r="A8" s="46">
        <v>3.0</v>
      </c>
      <c r="B8" s="17" t="s">
        <v>88</v>
      </c>
      <c r="C8" s="48" t="s">
        <v>26</v>
      </c>
      <c r="D8" s="50">
        <v>41548.0</v>
      </c>
      <c r="E8" s="48">
        <v>19.0</v>
      </c>
      <c r="F8" s="48">
        <v>11.0</v>
      </c>
      <c r="G8" s="46"/>
      <c r="H8" s="53"/>
    </row>
    <row r="9">
      <c r="A9" s="46">
        <v>4.0</v>
      </c>
      <c r="B9" s="17" t="s">
        <v>22</v>
      </c>
      <c r="C9" s="48" t="s">
        <v>26</v>
      </c>
      <c r="D9" s="50">
        <v>42278.0</v>
      </c>
      <c r="E9" s="48">
        <v>18.0</v>
      </c>
      <c r="F9" s="48">
        <v>7.0</v>
      </c>
      <c r="G9" s="46" t="s">
        <v>94</v>
      </c>
      <c r="H9" s="53">
        <v>45200.0</v>
      </c>
    </row>
    <row r="10">
      <c r="A10" s="46">
        <v>5.0</v>
      </c>
      <c r="B10" s="17" t="s">
        <v>32</v>
      </c>
      <c r="C10" s="48" t="s">
        <v>26</v>
      </c>
      <c r="D10" s="50">
        <v>42644.0</v>
      </c>
      <c r="E10" s="48">
        <v>19.0</v>
      </c>
      <c r="F10" s="48">
        <v>7.0</v>
      </c>
      <c r="G10" s="46"/>
      <c r="H10" s="53"/>
    </row>
    <row r="11">
      <c r="A11" s="46">
        <v>6.0</v>
      </c>
      <c r="B11" s="17" t="s">
        <v>35</v>
      </c>
      <c r="C11" s="48" t="s">
        <v>26</v>
      </c>
      <c r="D11" s="50">
        <v>44470.0</v>
      </c>
      <c r="E11" s="48">
        <v>24.0</v>
      </c>
      <c r="F11" s="48">
        <v>7.0</v>
      </c>
      <c r="G11" s="46" t="s">
        <v>94</v>
      </c>
      <c r="H11" s="53">
        <v>45748.0</v>
      </c>
    </row>
    <row r="12">
      <c r="A12" s="46">
        <v>7.0</v>
      </c>
      <c r="B12" s="17" t="s">
        <v>39</v>
      </c>
      <c r="C12" s="48" t="s">
        <v>42</v>
      </c>
      <c r="D12" s="50">
        <v>43922.0</v>
      </c>
      <c r="E12" s="48">
        <v>11.0</v>
      </c>
      <c r="F12" s="48">
        <v>3.0</v>
      </c>
      <c r="G12" s="46" t="s">
        <v>94</v>
      </c>
      <c r="H12" s="53">
        <v>45200.0</v>
      </c>
    </row>
    <row r="13">
      <c r="A13" s="46">
        <v>8.0</v>
      </c>
      <c r="B13" s="17" t="s">
        <v>49</v>
      </c>
      <c r="C13" s="48" t="s">
        <v>116</v>
      </c>
      <c r="D13" s="50">
        <v>44470.0</v>
      </c>
      <c r="E13" s="48">
        <v>17.0</v>
      </c>
      <c r="F13" s="48">
        <v>7.0</v>
      </c>
      <c r="G13" s="46" t="s">
        <v>26</v>
      </c>
      <c r="H13" s="53">
        <v>45748.0</v>
      </c>
    </row>
    <row r="14">
      <c r="A14" s="46">
        <v>9.0</v>
      </c>
      <c r="B14" s="17" t="s">
        <v>61</v>
      </c>
      <c r="C14" s="48" t="s">
        <v>63</v>
      </c>
      <c r="D14" s="50">
        <v>44652.0</v>
      </c>
      <c r="E14" s="48">
        <v>10.0</v>
      </c>
      <c r="F14" s="48">
        <v>3.0</v>
      </c>
      <c r="G14" s="46" t="s">
        <v>116</v>
      </c>
      <c r="H14" s="53">
        <v>45931.0</v>
      </c>
    </row>
    <row r="15">
      <c r="A15" s="46">
        <v>10.0</v>
      </c>
      <c r="B15" s="17" t="s">
        <v>66</v>
      </c>
      <c r="C15" s="48" t="s">
        <v>63</v>
      </c>
      <c r="D15" s="50">
        <v>44986.0</v>
      </c>
      <c r="E15" s="48">
        <v>1.0</v>
      </c>
      <c r="F15" s="48">
        <v>0.0</v>
      </c>
      <c r="G15" s="46" t="s">
        <v>116</v>
      </c>
      <c r="H15" s="53">
        <v>45931.0</v>
      </c>
    </row>
    <row r="16">
      <c r="A16" s="46">
        <v>11.0</v>
      </c>
      <c r="B16" s="17" t="s">
        <v>69</v>
      </c>
      <c r="C16" s="48" t="s">
        <v>140</v>
      </c>
      <c r="D16" s="50">
        <v>44470.0</v>
      </c>
      <c r="E16" s="48">
        <v>22.0</v>
      </c>
      <c r="F16" s="48">
        <v>0.0</v>
      </c>
      <c r="G16" s="46" t="s">
        <v>63</v>
      </c>
      <c r="H16" s="53">
        <v>45748.0</v>
      </c>
    </row>
    <row r="17">
      <c r="A17" s="46">
        <v>12.0</v>
      </c>
      <c r="B17" s="17" t="s">
        <v>72</v>
      </c>
      <c r="C17" s="48" t="s">
        <v>140</v>
      </c>
      <c r="D17" s="50">
        <v>44470.0</v>
      </c>
      <c r="E17" s="48">
        <v>22.0</v>
      </c>
      <c r="F17" s="48">
        <v>0.0</v>
      </c>
      <c r="G17" s="46" t="s">
        <v>63</v>
      </c>
      <c r="H17" s="53">
        <v>45748.0</v>
      </c>
    </row>
    <row r="18">
      <c r="A18" s="46">
        <v>13.0</v>
      </c>
      <c r="B18" s="17" t="s">
        <v>75</v>
      </c>
      <c r="C18" s="48" t="s">
        <v>140</v>
      </c>
      <c r="D18" s="50">
        <v>44470.0</v>
      </c>
      <c r="E18" s="48">
        <v>23.0</v>
      </c>
      <c r="F18" s="48">
        <v>0.0</v>
      </c>
      <c r="G18" s="46" t="s">
        <v>63</v>
      </c>
      <c r="H18" s="53">
        <v>45748.0</v>
      </c>
    </row>
    <row r="19">
      <c r="A19" s="46">
        <v>14.0</v>
      </c>
      <c r="B19" s="17" t="s">
        <v>77</v>
      </c>
      <c r="C19" s="48" t="s">
        <v>140</v>
      </c>
      <c r="D19" s="50">
        <v>44470.0</v>
      </c>
      <c r="E19" s="48">
        <v>21.0</v>
      </c>
      <c r="F19" s="48">
        <v>0.0</v>
      </c>
      <c r="G19" s="46" t="s">
        <v>63</v>
      </c>
      <c r="H19" s="53">
        <v>45748.0</v>
      </c>
    </row>
    <row r="20">
      <c r="A20" s="46">
        <v>15.0</v>
      </c>
      <c r="B20" s="17" t="s">
        <v>80</v>
      </c>
      <c r="C20" s="48" t="s">
        <v>157</v>
      </c>
      <c r="D20" s="50">
        <v>44835.0</v>
      </c>
      <c r="E20" s="48">
        <v>22.0</v>
      </c>
      <c r="F20" s="48">
        <v>0.0</v>
      </c>
      <c r="G20" s="46" t="s">
        <v>63</v>
      </c>
      <c r="H20" s="53">
        <v>46113.0</v>
      </c>
    </row>
    <row r="21">
      <c r="A21" s="46">
        <v>16.0</v>
      </c>
      <c r="B21" s="17" t="s">
        <v>89</v>
      </c>
      <c r="C21" s="48" t="s">
        <v>157</v>
      </c>
      <c r="D21" s="50">
        <v>44835.0</v>
      </c>
      <c r="E21" s="48">
        <v>22.0</v>
      </c>
      <c r="F21" s="48">
        <v>0.0</v>
      </c>
      <c r="G21" s="46" t="s">
        <v>63</v>
      </c>
      <c r="H21" s="53">
        <v>46113.0</v>
      </c>
    </row>
    <row r="22">
      <c r="A22" s="46">
        <v>17.0</v>
      </c>
      <c r="B22" s="17" t="s">
        <v>91</v>
      </c>
      <c r="C22" s="48" t="s">
        <v>63</v>
      </c>
      <c r="D22" s="50">
        <v>45200.0</v>
      </c>
      <c r="E22" s="48">
        <v>10.0</v>
      </c>
      <c r="F22" s="48">
        <v>4.0</v>
      </c>
      <c r="G22" s="46" t="s">
        <v>116</v>
      </c>
      <c r="H22" s="53">
        <v>46478.0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6">
        <v>18.0</v>
      </c>
      <c r="B23" s="17" t="s">
        <v>95</v>
      </c>
      <c r="C23" s="48" t="s">
        <v>98</v>
      </c>
      <c r="D23" s="50">
        <v>44652.0</v>
      </c>
      <c r="E23" s="48">
        <v>17.0</v>
      </c>
      <c r="F23" s="48">
        <v>6.0</v>
      </c>
      <c r="G23" s="46" t="s">
        <v>140</v>
      </c>
      <c r="H23" s="53">
        <v>46113.0</v>
      </c>
    </row>
    <row r="24">
      <c r="A24" s="46">
        <v>19.0</v>
      </c>
      <c r="B24" s="17" t="s">
        <v>101</v>
      </c>
      <c r="C24" s="48" t="s">
        <v>98</v>
      </c>
      <c r="D24" s="50">
        <v>44835.0</v>
      </c>
      <c r="E24" s="48">
        <v>6.0</v>
      </c>
      <c r="F24" s="48">
        <v>7.0</v>
      </c>
      <c r="G24" s="46" t="s">
        <v>140</v>
      </c>
      <c r="H24" s="53">
        <v>46113.0</v>
      </c>
    </row>
    <row r="25">
      <c r="A25" s="46">
        <v>20.0</v>
      </c>
      <c r="B25" s="17" t="s">
        <v>107</v>
      </c>
      <c r="C25" s="48" t="s">
        <v>98</v>
      </c>
      <c r="D25" s="50">
        <v>45444.0</v>
      </c>
      <c r="E25" s="48">
        <v>6.0</v>
      </c>
      <c r="F25" s="48">
        <v>6.0</v>
      </c>
      <c r="G25" s="46" t="s">
        <v>140</v>
      </c>
      <c r="H25" s="53">
        <v>46753.0</v>
      </c>
    </row>
    <row r="26">
      <c r="A26" s="46">
        <v>21.0</v>
      </c>
      <c r="B26" s="17" t="s">
        <v>110</v>
      </c>
      <c r="C26" s="48" t="s">
        <v>187</v>
      </c>
      <c r="D26" s="50">
        <v>45444.0</v>
      </c>
      <c r="E26" s="48">
        <v>6.0</v>
      </c>
      <c r="F26" s="48">
        <v>6.0</v>
      </c>
      <c r="G26" s="46" t="s">
        <v>140</v>
      </c>
      <c r="H26" s="53">
        <v>46753.0</v>
      </c>
    </row>
    <row r="27">
      <c r="C27" s="5"/>
      <c r="D27" s="5"/>
      <c r="E27" s="5"/>
      <c r="F27" s="5"/>
      <c r="G27" s="5"/>
    </row>
    <row r="28">
      <c r="C28" s="5"/>
      <c r="D28" s="5"/>
      <c r="E28" s="5"/>
      <c r="F28" s="5"/>
      <c r="G28" s="5"/>
    </row>
    <row r="29">
      <c r="C29" s="5"/>
      <c r="D29" s="5"/>
      <c r="E29" s="5"/>
      <c r="F29" s="5"/>
      <c r="G29" s="5"/>
    </row>
    <row r="30">
      <c r="C30" s="5"/>
      <c r="D30" s="5"/>
      <c r="E30" s="5"/>
      <c r="F30" s="5"/>
      <c r="G30" s="5"/>
    </row>
    <row r="31">
      <c r="C31" s="5"/>
      <c r="D31" s="5"/>
      <c r="E31" s="5"/>
      <c r="F31" s="5"/>
      <c r="G31" s="5"/>
    </row>
    <row r="32">
      <c r="C32" s="5"/>
      <c r="D32" s="5"/>
      <c r="E32" s="5"/>
      <c r="F32" s="5"/>
      <c r="G32" s="5"/>
    </row>
    <row r="33">
      <c r="C33" s="5"/>
      <c r="D33" s="5"/>
      <c r="E33" s="5"/>
      <c r="F33" s="5"/>
      <c r="G33" s="5"/>
    </row>
    <row r="34">
      <c r="C34" s="5"/>
      <c r="D34" s="5"/>
      <c r="E34" s="5"/>
      <c r="F34" s="5"/>
      <c r="G34" s="5"/>
    </row>
    <row r="35">
      <c r="C35" s="5"/>
      <c r="D35" s="5"/>
      <c r="E35" s="5"/>
      <c r="F35" s="5"/>
      <c r="G35" s="5"/>
    </row>
    <row r="36">
      <c r="C36" s="5"/>
      <c r="D36" s="5"/>
      <c r="E36" s="5"/>
      <c r="F36" s="5"/>
      <c r="G36" s="5"/>
    </row>
    <row r="37">
      <c r="C37" s="5"/>
      <c r="D37" s="5"/>
      <c r="E37" s="5"/>
      <c r="F37" s="5"/>
      <c r="G37" s="5"/>
    </row>
    <row r="38">
      <c r="C38" s="5"/>
      <c r="D38" s="5"/>
      <c r="E38" s="5"/>
      <c r="F38" s="5"/>
      <c r="G38" s="5"/>
    </row>
    <row r="39">
      <c r="C39" s="5"/>
      <c r="D39" s="5"/>
      <c r="E39" s="5"/>
      <c r="F39" s="5"/>
      <c r="G39" s="5"/>
    </row>
    <row r="40">
      <c r="C40" s="5"/>
      <c r="D40" s="5"/>
      <c r="E40" s="5"/>
      <c r="F40" s="5"/>
      <c r="G40" s="5"/>
    </row>
    <row r="41">
      <c r="C41" s="5"/>
      <c r="D41" s="5"/>
      <c r="E41" s="5"/>
      <c r="F41" s="5"/>
      <c r="G41" s="5"/>
    </row>
    <row r="42">
      <c r="C42" s="5"/>
      <c r="D42" s="5"/>
      <c r="E42" s="5"/>
      <c r="F42" s="5"/>
      <c r="G42" s="5"/>
    </row>
    <row r="43">
      <c r="C43" s="5"/>
      <c r="D43" s="5"/>
      <c r="E43" s="5"/>
      <c r="F43" s="5"/>
      <c r="G43" s="5"/>
    </row>
    <row r="44">
      <c r="C44" s="5"/>
      <c r="D44" s="5"/>
      <c r="E44" s="5"/>
      <c r="F44" s="5"/>
      <c r="G44" s="5"/>
    </row>
    <row r="45">
      <c r="C45" s="5"/>
      <c r="D45" s="5"/>
      <c r="E45" s="5"/>
      <c r="F45" s="5"/>
      <c r="G45" s="5"/>
    </row>
    <row r="46">
      <c r="C46" s="5"/>
      <c r="D46" s="5"/>
      <c r="E46" s="5"/>
      <c r="F46" s="5"/>
      <c r="G46" s="5"/>
    </row>
    <row r="47">
      <c r="C47" s="5"/>
      <c r="D47" s="5"/>
      <c r="E47" s="5"/>
      <c r="F47" s="5"/>
      <c r="G47" s="5"/>
    </row>
    <row r="48">
      <c r="C48" s="5"/>
      <c r="D48" s="5"/>
      <c r="E48" s="5"/>
      <c r="F48" s="5"/>
      <c r="G48" s="5"/>
    </row>
    <row r="49">
      <c r="C49" s="5"/>
      <c r="D49" s="5"/>
      <c r="E49" s="5"/>
      <c r="F49" s="5"/>
      <c r="G49" s="5"/>
    </row>
    <row r="50">
      <c r="C50" s="5"/>
      <c r="D50" s="5"/>
      <c r="E50" s="5"/>
      <c r="F50" s="5"/>
      <c r="G50" s="5"/>
    </row>
    <row r="51">
      <c r="C51" s="5"/>
      <c r="D51" s="5"/>
      <c r="E51" s="5"/>
      <c r="F51" s="5"/>
      <c r="G51" s="5"/>
    </row>
    <row r="52">
      <c r="C52" s="5"/>
      <c r="D52" s="5"/>
      <c r="E52" s="5"/>
      <c r="F52" s="5"/>
      <c r="G52" s="5"/>
    </row>
    <row r="53">
      <c r="C53" s="5"/>
      <c r="D53" s="5"/>
      <c r="E53" s="5"/>
      <c r="F53" s="5"/>
      <c r="G53" s="5"/>
    </row>
    <row r="54">
      <c r="C54" s="5"/>
      <c r="D54" s="5"/>
      <c r="E54" s="5"/>
      <c r="F54" s="5"/>
      <c r="G54" s="5"/>
    </row>
    <row r="55">
      <c r="C55" s="5"/>
      <c r="D55" s="5"/>
      <c r="E55" s="5"/>
      <c r="F55" s="5"/>
      <c r="G55" s="5"/>
    </row>
    <row r="56">
      <c r="C56" s="5"/>
      <c r="D56" s="5"/>
      <c r="E56" s="5"/>
      <c r="F56" s="5"/>
      <c r="G56" s="5"/>
    </row>
    <row r="57">
      <c r="C57" s="5"/>
      <c r="D57" s="5"/>
      <c r="E57" s="5"/>
      <c r="F57" s="5"/>
      <c r="G57" s="5"/>
    </row>
    <row r="58">
      <c r="C58" s="5"/>
      <c r="D58" s="5"/>
      <c r="E58" s="5"/>
      <c r="F58" s="5"/>
      <c r="G58" s="5"/>
    </row>
    <row r="59">
      <c r="C59" s="5"/>
      <c r="D59" s="5"/>
      <c r="E59" s="5"/>
      <c r="F59" s="5"/>
      <c r="G59" s="5"/>
    </row>
    <row r="60">
      <c r="C60" s="5"/>
      <c r="D60" s="5"/>
      <c r="E60" s="5"/>
      <c r="F60" s="5"/>
      <c r="G60" s="5"/>
    </row>
    <row r="61">
      <c r="C61" s="5"/>
      <c r="D61" s="5"/>
      <c r="E61" s="5"/>
      <c r="F61" s="5"/>
      <c r="G61" s="5"/>
    </row>
    <row r="62">
      <c r="C62" s="5"/>
      <c r="D62" s="5"/>
      <c r="E62" s="5"/>
      <c r="F62" s="5"/>
      <c r="G62" s="5"/>
    </row>
    <row r="63">
      <c r="C63" s="5"/>
      <c r="D63" s="5"/>
      <c r="E63" s="5"/>
      <c r="F63" s="5"/>
      <c r="G63" s="5"/>
    </row>
    <row r="64">
      <c r="C64" s="5"/>
      <c r="D64" s="5"/>
      <c r="E64" s="5"/>
      <c r="F64" s="5"/>
      <c r="G64" s="5"/>
    </row>
    <row r="65">
      <c r="C65" s="5"/>
      <c r="D65" s="5"/>
      <c r="E65" s="5"/>
      <c r="F65" s="5"/>
      <c r="G65" s="5"/>
    </row>
    <row r="66">
      <c r="C66" s="5"/>
      <c r="D66" s="5"/>
      <c r="E66" s="5"/>
      <c r="F66" s="5"/>
      <c r="G66" s="5"/>
    </row>
    <row r="67">
      <c r="C67" s="5"/>
      <c r="D67" s="5"/>
      <c r="E67" s="5"/>
      <c r="F67" s="5"/>
      <c r="G67" s="5"/>
    </row>
    <row r="68">
      <c r="C68" s="5"/>
      <c r="D68" s="5"/>
      <c r="E68" s="5"/>
      <c r="F68" s="5"/>
      <c r="G68" s="5"/>
    </row>
    <row r="69">
      <c r="C69" s="5"/>
      <c r="D69" s="5"/>
      <c r="E69" s="5"/>
      <c r="F69" s="5"/>
      <c r="G69" s="5"/>
    </row>
    <row r="70">
      <c r="C70" s="5"/>
      <c r="D70" s="5"/>
      <c r="E70" s="5"/>
      <c r="F70" s="5"/>
      <c r="G70" s="5"/>
    </row>
    <row r="71">
      <c r="C71" s="5"/>
      <c r="D71" s="5"/>
      <c r="E71" s="5"/>
      <c r="F71" s="5"/>
      <c r="G71" s="5"/>
    </row>
    <row r="72">
      <c r="C72" s="5"/>
      <c r="D72" s="5"/>
      <c r="E72" s="5"/>
      <c r="F72" s="5"/>
      <c r="G72" s="5"/>
    </row>
    <row r="73">
      <c r="C73" s="5"/>
      <c r="D73" s="5"/>
      <c r="E73" s="5"/>
      <c r="F73" s="5"/>
      <c r="G73" s="5"/>
    </row>
    <row r="74">
      <c r="C74" s="5"/>
      <c r="D74" s="5"/>
      <c r="E74" s="5"/>
      <c r="F74" s="5"/>
      <c r="G74" s="5"/>
    </row>
    <row r="75">
      <c r="C75" s="5"/>
      <c r="D75" s="5"/>
      <c r="E75" s="5"/>
      <c r="F75" s="5"/>
      <c r="G75" s="5"/>
    </row>
    <row r="76">
      <c r="C76" s="5"/>
      <c r="D76" s="5"/>
      <c r="E76" s="5"/>
      <c r="F76" s="5"/>
      <c r="G76" s="5"/>
    </row>
    <row r="77">
      <c r="C77" s="5"/>
      <c r="D77" s="5"/>
      <c r="E77" s="5"/>
      <c r="F77" s="5"/>
      <c r="G77" s="5"/>
    </row>
    <row r="78">
      <c r="C78" s="5"/>
      <c r="D78" s="5"/>
      <c r="E78" s="5"/>
      <c r="F78" s="5"/>
      <c r="G78" s="5"/>
    </row>
    <row r="79">
      <c r="C79" s="5"/>
      <c r="D79" s="5"/>
      <c r="E79" s="5"/>
      <c r="F79" s="5"/>
      <c r="G79" s="5"/>
    </row>
    <row r="80">
      <c r="C80" s="5"/>
      <c r="D80" s="5"/>
      <c r="E80" s="5"/>
      <c r="F80" s="5"/>
      <c r="G80" s="5"/>
    </row>
    <row r="81">
      <c r="C81" s="5"/>
      <c r="D81" s="5"/>
      <c r="E81" s="5"/>
      <c r="F81" s="5"/>
      <c r="G81" s="5"/>
    </row>
    <row r="82">
      <c r="C82" s="5"/>
      <c r="D82" s="5"/>
      <c r="E82" s="5"/>
      <c r="F82" s="5"/>
      <c r="G82" s="5"/>
    </row>
    <row r="83">
      <c r="C83" s="5"/>
      <c r="D83" s="5"/>
      <c r="E83" s="5"/>
      <c r="F83" s="5"/>
      <c r="G83" s="5"/>
    </row>
    <row r="84">
      <c r="C84" s="5"/>
      <c r="D84" s="5"/>
      <c r="E84" s="5"/>
      <c r="F84" s="5"/>
      <c r="G84" s="5"/>
    </row>
    <row r="85">
      <c r="C85" s="5"/>
      <c r="D85" s="5"/>
      <c r="E85" s="5"/>
      <c r="F85" s="5"/>
      <c r="G85" s="5"/>
    </row>
    <row r="86">
      <c r="C86" s="5"/>
      <c r="D86" s="5"/>
      <c r="E86" s="5"/>
      <c r="F86" s="5"/>
      <c r="G86" s="5"/>
    </row>
    <row r="87">
      <c r="C87" s="5"/>
      <c r="D87" s="5"/>
      <c r="E87" s="5"/>
      <c r="F87" s="5"/>
      <c r="G87" s="5"/>
    </row>
    <row r="88">
      <c r="C88" s="5"/>
      <c r="D88" s="5"/>
      <c r="E88" s="5"/>
      <c r="F88" s="5"/>
      <c r="G88" s="5"/>
    </row>
    <row r="89">
      <c r="C89" s="5"/>
      <c r="D89" s="5"/>
      <c r="E89" s="5"/>
      <c r="F89" s="5"/>
      <c r="G89" s="5"/>
    </row>
    <row r="90">
      <c r="C90" s="5"/>
      <c r="D90" s="5"/>
      <c r="E90" s="5"/>
      <c r="F90" s="5"/>
      <c r="G90" s="5"/>
    </row>
    <row r="91">
      <c r="C91" s="5"/>
      <c r="D91" s="5"/>
      <c r="E91" s="5"/>
      <c r="F91" s="5"/>
      <c r="G91" s="5"/>
    </row>
    <row r="92">
      <c r="C92" s="5"/>
      <c r="D92" s="5"/>
      <c r="E92" s="5"/>
      <c r="F92" s="5"/>
      <c r="G92" s="5"/>
    </row>
    <row r="93">
      <c r="C93" s="5"/>
      <c r="D93" s="5"/>
      <c r="E93" s="5"/>
      <c r="F93" s="5"/>
      <c r="G93" s="5"/>
    </row>
    <row r="94">
      <c r="C94" s="5"/>
      <c r="D94" s="5"/>
      <c r="E94" s="5"/>
      <c r="F94" s="5"/>
      <c r="G94" s="5"/>
    </row>
    <row r="95">
      <c r="C95" s="5"/>
      <c r="D95" s="5"/>
      <c r="E95" s="5"/>
      <c r="F95" s="5"/>
      <c r="G95" s="5"/>
    </row>
    <row r="96">
      <c r="C96" s="5"/>
      <c r="D96" s="5"/>
      <c r="E96" s="5"/>
      <c r="F96" s="5"/>
      <c r="G96" s="5"/>
    </row>
    <row r="97">
      <c r="C97" s="5"/>
      <c r="D97" s="5"/>
      <c r="E97" s="5"/>
      <c r="F97" s="5"/>
      <c r="G97" s="5"/>
    </row>
    <row r="98">
      <c r="C98" s="5"/>
      <c r="D98" s="5"/>
      <c r="E98" s="5"/>
      <c r="F98" s="5"/>
      <c r="G98" s="5"/>
    </row>
    <row r="99">
      <c r="C99" s="5"/>
      <c r="D99" s="5"/>
      <c r="E99" s="5"/>
      <c r="F99" s="5"/>
      <c r="G99" s="5"/>
    </row>
    <row r="100">
      <c r="C100" s="5"/>
      <c r="D100" s="5"/>
      <c r="E100" s="5"/>
      <c r="F100" s="5"/>
      <c r="G100" s="5"/>
    </row>
    <row r="101">
      <c r="C101" s="5"/>
      <c r="D101" s="5"/>
      <c r="E101" s="5"/>
      <c r="F101" s="5"/>
      <c r="G101" s="5"/>
    </row>
    <row r="102">
      <c r="C102" s="5"/>
      <c r="D102" s="5"/>
      <c r="E102" s="5"/>
      <c r="F102" s="5"/>
      <c r="G102" s="5"/>
    </row>
    <row r="103">
      <c r="C103" s="5"/>
      <c r="D103" s="5"/>
      <c r="E103" s="5"/>
      <c r="F103" s="5"/>
      <c r="G103" s="5"/>
    </row>
    <row r="104">
      <c r="C104" s="5"/>
      <c r="D104" s="5"/>
      <c r="E104" s="5"/>
      <c r="F104" s="5"/>
      <c r="G104" s="5"/>
    </row>
    <row r="105">
      <c r="C105" s="5"/>
      <c r="D105" s="5"/>
      <c r="E105" s="5"/>
      <c r="F105" s="5"/>
      <c r="G105" s="5"/>
    </row>
    <row r="106">
      <c r="C106" s="5"/>
      <c r="D106" s="5"/>
      <c r="E106" s="5"/>
      <c r="F106" s="5"/>
      <c r="G106" s="5"/>
    </row>
    <row r="107">
      <c r="C107" s="5"/>
      <c r="D107" s="5"/>
      <c r="E107" s="5"/>
      <c r="F107" s="5"/>
      <c r="G107" s="5"/>
    </row>
    <row r="108">
      <c r="C108" s="5"/>
      <c r="D108" s="5"/>
      <c r="E108" s="5"/>
      <c r="F108" s="5"/>
      <c r="G108" s="5"/>
    </row>
    <row r="109">
      <c r="C109" s="5"/>
      <c r="D109" s="5"/>
      <c r="E109" s="5"/>
      <c r="F109" s="5"/>
      <c r="G109" s="5"/>
    </row>
    <row r="110">
      <c r="C110" s="5"/>
      <c r="D110" s="5"/>
      <c r="E110" s="5"/>
      <c r="F110" s="5"/>
      <c r="G110" s="5"/>
    </row>
    <row r="111">
      <c r="C111" s="5"/>
      <c r="D111" s="5"/>
      <c r="E111" s="5"/>
      <c r="F111" s="5"/>
      <c r="G111" s="5"/>
    </row>
    <row r="112">
      <c r="C112" s="5"/>
      <c r="D112" s="5"/>
      <c r="E112" s="5"/>
      <c r="F112" s="5"/>
      <c r="G112" s="5"/>
    </row>
    <row r="113">
      <c r="C113" s="5"/>
      <c r="D113" s="5"/>
      <c r="E113" s="5"/>
      <c r="F113" s="5"/>
      <c r="G113" s="5"/>
    </row>
    <row r="114">
      <c r="C114" s="5"/>
      <c r="D114" s="5"/>
      <c r="E114" s="5"/>
      <c r="F114" s="5"/>
      <c r="G114" s="5"/>
    </row>
    <row r="115">
      <c r="C115" s="5"/>
      <c r="D115" s="5"/>
      <c r="E115" s="5"/>
      <c r="F115" s="5"/>
      <c r="G115" s="5"/>
    </row>
    <row r="116">
      <c r="C116" s="5"/>
      <c r="D116" s="5"/>
      <c r="E116" s="5"/>
      <c r="F116" s="5"/>
      <c r="G116" s="5"/>
    </row>
    <row r="117">
      <c r="C117" s="5"/>
      <c r="D117" s="5"/>
      <c r="E117" s="5"/>
      <c r="F117" s="5"/>
      <c r="G117" s="5"/>
    </row>
    <row r="118">
      <c r="C118" s="5"/>
      <c r="D118" s="5"/>
      <c r="E118" s="5"/>
      <c r="F118" s="5"/>
      <c r="G118" s="5"/>
    </row>
    <row r="119">
      <c r="C119" s="5"/>
      <c r="D119" s="5"/>
      <c r="E119" s="5"/>
      <c r="F119" s="5"/>
      <c r="G119" s="5"/>
    </row>
    <row r="120">
      <c r="C120" s="5"/>
      <c r="D120" s="5"/>
      <c r="E120" s="5"/>
      <c r="F120" s="5"/>
      <c r="G120" s="5"/>
    </row>
    <row r="121">
      <c r="C121" s="5"/>
      <c r="D121" s="5"/>
      <c r="E121" s="5"/>
      <c r="F121" s="5"/>
      <c r="G121" s="5"/>
    </row>
    <row r="122">
      <c r="C122" s="5"/>
      <c r="D122" s="5"/>
      <c r="E122" s="5"/>
      <c r="F122" s="5"/>
      <c r="G122" s="5"/>
    </row>
    <row r="123">
      <c r="C123" s="5"/>
      <c r="D123" s="5"/>
      <c r="E123" s="5"/>
      <c r="F123" s="5"/>
      <c r="G123" s="5"/>
    </row>
    <row r="124">
      <c r="C124" s="5"/>
      <c r="D124" s="5"/>
      <c r="E124" s="5"/>
      <c r="F124" s="5"/>
      <c r="G124" s="5"/>
    </row>
    <row r="125">
      <c r="C125" s="5"/>
      <c r="D125" s="5"/>
      <c r="E125" s="5"/>
      <c r="F125" s="5"/>
      <c r="G125" s="5"/>
    </row>
    <row r="126">
      <c r="C126" s="5"/>
      <c r="D126" s="5"/>
      <c r="E126" s="5"/>
      <c r="F126" s="5"/>
      <c r="G126" s="5"/>
    </row>
    <row r="127">
      <c r="C127" s="5"/>
      <c r="D127" s="5"/>
      <c r="E127" s="5"/>
      <c r="F127" s="5"/>
      <c r="G127" s="5"/>
    </row>
    <row r="128">
      <c r="C128" s="5"/>
      <c r="D128" s="5"/>
      <c r="E128" s="5"/>
      <c r="F128" s="5"/>
      <c r="G128" s="5"/>
    </row>
    <row r="129">
      <c r="C129" s="5"/>
      <c r="D129" s="5"/>
      <c r="E129" s="5"/>
      <c r="F129" s="5"/>
      <c r="G129" s="5"/>
    </row>
    <row r="130">
      <c r="C130" s="5"/>
      <c r="D130" s="5"/>
      <c r="E130" s="5"/>
      <c r="F130" s="5"/>
      <c r="G130" s="5"/>
    </row>
    <row r="131">
      <c r="C131" s="5"/>
      <c r="D131" s="5"/>
      <c r="E131" s="5"/>
      <c r="F131" s="5"/>
      <c r="G131" s="5"/>
    </row>
    <row r="132">
      <c r="C132" s="5"/>
      <c r="D132" s="5"/>
      <c r="E132" s="5"/>
      <c r="F132" s="5"/>
      <c r="G132" s="5"/>
    </row>
    <row r="133">
      <c r="C133" s="5"/>
      <c r="D133" s="5"/>
      <c r="E133" s="5"/>
      <c r="F133" s="5"/>
      <c r="G133" s="5"/>
    </row>
    <row r="134">
      <c r="C134" s="5"/>
      <c r="D134" s="5"/>
      <c r="E134" s="5"/>
      <c r="F134" s="5"/>
      <c r="G134" s="5"/>
    </row>
    <row r="135">
      <c r="C135" s="5"/>
      <c r="D135" s="5"/>
      <c r="E135" s="5"/>
      <c r="F135" s="5"/>
      <c r="G135" s="5"/>
    </row>
    <row r="136">
      <c r="C136" s="5"/>
      <c r="D136" s="5"/>
      <c r="E136" s="5"/>
      <c r="F136" s="5"/>
      <c r="G136" s="5"/>
    </row>
    <row r="137">
      <c r="C137" s="5"/>
      <c r="D137" s="5"/>
      <c r="E137" s="5"/>
      <c r="F137" s="5"/>
      <c r="G137" s="5"/>
    </row>
    <row r="138">
      <c r="C138" s="5"/>
      <c r="D138" s="5"/>
      <c r="E138" s="5"/>
      <c r="F138" s="5"/>
      <c r="G138" s="5"/>
    </row>
    <row r="139">
      <c r="C139" s="5"/>
      <c r="D139" s="5"/>
      <c r="E139" s="5"/>
      <c r="F139" s="5"/>
      <c r="G139" s="5"/>
    </row>
    <row r="140">
      <c r="C140" s="5"/>
      <c r="D140" s="5"/>
      <c r="E140" s="5"/>
      <c r="F140" s="5"/>
      <c r="G140" s="5"/>
    </row>
    <row r="141">
      <c r="C141" s="5"/>
      <c r="D141" s="5"/>
      <c r="E141" s="5"/>
      <c r="F141" s="5"/>
      <c r="G141" s="5"/>
    </row>
    <row r="142">
      <c r="C142" s="5"/>
      <c r="D142" s="5"/>
      <c r="E142" s="5"/>
      <c r="F142" s="5"/>
      <c r="G142" s="5"/>
    </row>
    <row r="143">
      <c r="C143" s="5"/>
      <c r="D143" s="5"/>
      <c r="E143" s="5"/>
      <c r="F143" s="5"/>
      <c r="G143" s="5"/>
    </row>
    <row r="144">
      <c r="C144" s="5"/>
      <c r="D144" s="5"/>
      <c r="E144" s="5"/>
      <c r="F144" s="5"/>
      <c r="G144" s="5"/>
    </row>
    <row r="145">
      <c r="C145" s="5"/>
      <c r="D145" s="5"/>
      <c r="E145" s="5"/>
      <c r="F145" s="5"/>
      <c r="G145" s="5"/>
    </row>
    <row r="146">
      <c r="C146" s="5"/>
      <c r="D146" s="5"/>
      <c r="E146" s="5"/>
      <c r="F146" s="5"/>
      <c r="G146" s="5"/>
    </row>
    <row r="147">
      <c r="C147" s="5"/>
      <c r="D147" s="5"/>
      <c r="E147" s="5"/>
      <c r="F147" s="5"/>
      <c r="G147" s="5"/>
    </row>
    <row r="148">
      <c r="C148" s="5"/>
      <c r="D148" s="5"/>
      <c r="E148" s="5"/>
      <c r="F148" s="5"/>
      <c r="G148" s="5"/>
    </row>
    <row r="149">
      <c r="C149" s="5"/>
      <c r="D149" s="5"/>
      <c r="E149" s="5"/>
      <c r="F149" s="5"/>
      <c r="G149" s="5"/>
    </row>
    <row r="150">
      <c r="C150" s="5"/>
      <c r="D150" s="5"/>
      <c r="E150" s="5"/>
      <c r="F150" s="5"/>
      <c r="G150" s="5"/>
    </row>
    <row r="151">
      <c r="C151" s="5"/>
      <c r="D151" s="5"/>
      <c r="E151" s="5"/>
      <c r="F151" s="5"/>
      <c r="G151" s="5"/>
    </row>
    <row r="152">
      <c r="C152" s="5"/>
      <c r="D152" s="5"/>
      <c r="E152" s="5"/>
      <c r="F152" s="5"/>
      <c r="G152" s="5"/>
    </row>
    <row r="153">
      <c r="C153" s="5"/>
      <c r="D153" s="5"/>
      <c r="E153" s="5"/>
      <c r="F153" s="5"/>
      <c r="G153" s="5"/>
    </row>
    <row r="154">
      <c r="C154" s="5"/>
      <c r="D154" s="5"/>
      <c r="E154" s="5"/>
      <c r="F154" s="5"/>
      <c r="G154" s="5"/>
    </row>
    <row r="155">
      <c r="C155" s="5"/>
      <c r="D155" s="5"/>
      <c r="E155" s="5"/>
      <c r="F155" s="5"/>
      <c r="G155" s="5"/>
    </row>
    <row r="156">
      <c r="C156" s="5"/>
      <c r="D156" s="5"/>
      <c r="E156" s="5"/>
      <c r="F156" s="5"/>
      <c r="G156" s="5"/>
    </row>
    <row r="157">
      <c r="C157" s="5"/>
      <c r="D157" s="5"/>
      <c r="E157" s="5"/>
      <c r="F157" s="5"/>
      <c r="G157" s="5"/>
    </row>
    <row r="158">
      <c r="C158" s="5"/>
      <c r="D158" s="5"/>
      <c r="E158" s="5"/>
      <c r="F158" s="5"/>
      <c r="G158" s="5"/>
    </row>
    <row r="159">
      <c r="C159" s="5"/>
      <c r="D159" s="5"/>
      <c r="E159" s="5"/>
      <c r="F159" s="5"/>
      <c r="G159" s="5"/>
    </row>
    <row r="160">
      <c r="C160" s="5"/>
      <c r="D160" s="5"/>
      <c r="E160" s="5"/>
      <c r="F160" s="5"/>
      <c r="G160" s="5"/>
    </row>
    <row r="161">
      <c r="C161" s="5"/>
      <c r="D161" s="5"/>
      <c r="E161" s="5"/>
      <c r="F161" s="5"/>
      <c r="G161" s="5"/>
    </row>
    <row r="162">
      <c r="C162" s="5"/>
      <c r="D162" s="5"/>
      <c r="E162" s="5"/>
      <c r="F162" s="5"/>
      <c r="G162" s="5"/>
    </row>
    <row r="163">
      <c r="C163" s="5"/>
      <c r="D163" s="5"/>
      <c r="E163" s="5"/>
      <c r="F163" s="5"/>
      <c r="G163" s="5"/>
    </row>
    <row r="164">
      <c r="C164" s="5"/>
      <c r="D164" s="5"/>
      <c r="E164" s="5"/>
      <c r="F164" s="5"/>
      <c r="G164" s="5"/>
    </row>
    <row r="165">
      <c r="C165" s="5"/>
      <c r="D165" s="5"/>
      <c r="E165" s="5"/>
      <c r="F165" s="5"/>
      <c r="G165" s="5"/>
    </row>
    <row r="166">
      <c r="C166" s="5"/>
      <c r="D166" s="5"/>
      <c r="E166" s="5"/>
      <c r="F166" s="5"/>
      <c r="G166" s="5"/>
    </row>
    <row r="167">
      <c r="C167" s="5"/>
      <c r="D167" s="5"/>
      <c r="E167" s="5"/>
      <c r="F167" s="5"/>
      <c r="G167" s="5"/>
    </row>
    <row r="168">
      <c r="C168" s="5"/>
      <c r="D168" s="5"/>
      <c r="E168" s="5"/>
      <c r="F168" s="5"/>
      <c r="G168" s="5"/>
    </row>
    <row r="169">
      <c r="C169" s="5"/>
      <c r="D169" s="5"/>
      <c r="E169" s="5"/>
      <c r="F169" s="5"/>
      <c r="G169" s="5"/>
    </row>
    <row r="170">
      <c r="C170" s="5"/>
      <c r="D170" s="5"/>
      <c r="E170" s="5"/>
      <c r="F170" s="5"/>
      <c r="G170" s="5"/>
    </row>
    <row r="171">
      <c r="C171" s="5"/>
      <c r="D171" s="5"/>
      <c r="E171" s="5"/>
      <c r="F171" s="5"/>
      <c r="G171" s="5"/>
    </row>
    <row r="172">
      <c r="C172" s="5"/>
      <c r="D172" s="5"/>
      <c r="E172" s="5"/>
      <c r="F172" s="5"/>
      <c r="G172" s="5"/>
    </row>
    <row r="173">
      <c r="C173" s="5"/>
      <c r="D173" s="5"/>
      <c r="E173" s="5"/>
      <c r="F173" s="5"/>
      <c r="G173" s="5"/>
    </row>
    <row r="174">
      <c r="C174" s="5"/>
      <c r="D174" s="5"/>
      <c r="E174" s="5"/>
      <c r="F174" s="5"/>
      <c r="G174" s="5"/>
    </row>
    <row r="175">
      <c r="C175" s="5"/>
      <c r="D175" s="5"/>
      <c r="E175" s="5"/>
      <c r="F175" s="5"/>
      <c r="G175" s="5"/>
    </row>
    <row r="176">
      <c r="C176" s="5"/>
      <c r="D176" s="5"/>
      <c r="E176" s="5"/>
      <c r="F176" s="5"/>
      <c r="G176" s="5"/>
    </row>
    <row r="177">
      <c r="C177" s="5"/>
      <c r="D177" s="5"/>
      <c r="E177" s="5"/>
      <c r="F177" s="5"/>
      <c r="G177" s="5"/>
    </row>
    <row r="178">
      <c r="C178" s="5"/>
      <c r="D178" s="5"/>
      <c r="E178" s="5"/>
      <c r="F178" s="5"/>
      <c r="G178" s="5"/>
    </row>
    <row r="179">
      <c r="C179" s="5"/>
      <c r="D179" s="5"/>
      <c r="E179" s="5"/>
      <c r="F179" s="5"/>
      <c r="G179" s="5"/>
    </row>
    <row r="180">
      <c r="C180" s="5"/>
      <c r="D180" s="5"/>
      <c r="E180" s="5"/>
      <c r="F180" s="5"/>
      <c r="G180" s="5"/>
    </row>
    <row r="181">
      <c r="C181" s="5"/>
      <c r="D181" s="5"/>
      <c r="E181" s="5"/>
      <c r="F181" s="5"/>
      <c r="G181" s="5"/>
    </row>
    <row r="182">
      <c r="C182" s="5"/>
      <c r="D182" s="5"/>
      <c r="E182" s="5"/>
      <c r="F182" s="5"/>
      <c r="G182" s="5"/>
    </row>
    <row r="183">
      <c r="C183" s="5"/>
      <c r="D183" s="5"/>
      <c r="E183" s="5"/>
      <c r="F183" s="5"/>
      <c r="G183" s="5"/>
    </row>
    <row r="184">
      <c r="C184" s="5"/>
      <c r="D184" s="5"/>
      <c r="E184" s="5"/>
      <c r="F184" s="5"/>
      <c r="G184" s="5"/>
    </row>
    <row r="185">
      <c r="C185" s="5"/>
      <c r="D185" s="5"/>
      <c r="E185" s="5"/>
      <c r="F185" s="5"/>
      <c r="G185" s="5"/>
    </row>
    <row r="186">
      <c r="C186" s="5"/>
      <c r="D186" s="5"/>
      <c r="E186" s="5"/>
      <c r="F186" s="5"/>
      <c r="G186" s="5"/>
    </row>
    <row r="187">
      <c r="C187" s="5"/>
      <c r="D187" s="5"/>
      <c r="E187" s="5"/>
      <c r="F187" s="5"/>
      <c r="G187" s="5"/>
    </row>
    <row r="188">
      <c r="C188" s="5"/>
      <c r="D188" s="5"/>
      <c r="E188" s="5"/>
      <c r="F188" s="5"/>
      <c r="G188" s="5"/>
    </row>
    <row r="189">
      <c r="C189" s="5"/>
      <c r="D189" s="5"/>
      <c r="E189" s="5"/>
      <c r="F189" s="5"/>
      <c r="G189" s="5"/>
    </row>
    <row r="190">
      <c r="C190" s="5"/>
      <c r="D190" s="5"/>
      <c r="E190" s="5"/>
      <c r="F190" s="5"/>
      <c r="G190" s="5"/>
    </row>
    <row r="191">
      <c r="C191" s="5"/>
      <c r="D191" s="5"/>
      <c r="E191" s="5"/>
      <c r="F191" s="5"/>
      <c r="G191" s="5"/>
    </row>
    <row r="192">
      <c r="C192" s="5"/>
      <c r="D192" s="5"/>
      <c r="E192" s="5"/>
      <c r="F192" s="5"/>
      <c r="G192" s="5"/>
    </row>
    <row r="193">
      <c r="C193" s="5"/>
      <c r="D193" s="5"/>
      <c r="E193" s="5"/>
      <c r="F193" s="5"/>
      <c r="G193" s="5"/>
    </row>
    <row r="194">
      <c r="C194" s="5"/>
      <c r="D194" s="5"/>
      <c r="E194" s="5"/>
      <c r="F194" s="5"/>
      <c r="G194" s="5"/>
    </row>
    <row r="195">
      <c r="C195" s="5"/>
      <c r="D195" s="5"/>
      <c r="E195" s="5"/>
      <c r="F195" s="5"/>
      <c r="G195" s="5"/>
    </row>
    <row r="196">
      <c r="C196" s="5"/>
      <c r="D196" s="5"/>
      <c r="E196" s="5"/>
      <c r="F196" s="5"/>
      <c r="G196" s="5"/>
    </row>
    <row r="197">
      <c r="C197" s="5"/>
      <c r="D197" s="5"/>
      <c r="E197" s="5"/>
      <c r="F197" s="5"/>
      <c r="G197" s="5"/>
    </row>
    <row r="198">
      <c r="C198" s="5"/>
      <c r="D198" s="5"/>
      <c r="E198" s="5"/>
      <c r="F198" s="5"/>
      <c r="G198" s="5"/>
    </row>
    <row r="199">
      <c r="C199" s="5"/>
      <c r="D199" s="5"/>
      <c r="E199" s="5"/>
      <c r="F199" s="5"/>
      <c r="G199" s="5"/>
    </row>
    <row r="200">
      <c r="C200" s="5"/>
      <c r="D200" s="5"/>
      <c r="E200" s="5"/>
      <c r="F200" s="5"/>
      <c r="G200" s="5"/>
    </row>
    <row r="201">
      <c r="C201" s="5"/>
      <c r="D201" s="5"/>
      <c r="E201" s="5"/>
      <c r="F201" s="5"/>
      <c r="G201" s="5"/>
    </row>
    <row r="202">
      <c r="C202" s="5"/>
      <c r="D202" s="5"/>
      <c r="E202" s="5"/>
      <c r="F202" s="5"/>
      <c r="G202" s="5"/>
    </row>
    <row r="203">
      <c r="C203" s="5"/>
      <c r="D203" s="5"/>
      <c r="E203" s="5"/>
      <c r="F203" s="5"/>
      <c r="G203" s="5"/>
    </row>
    <row r="204">
      <c r="C204" s="5"/>
      <c r="D204" s="5"/>
      <c r="E204" s="5"/>
      <c r="F204" s="5"/>
      <c r="G204" s="5"/>
    </row>
    <row r="205">
      <c r="C205" s="5"/>
      <c r="D205" s="5"/>
      <c r="E205" s="5"/>
      <c r="F205" s="5"/>
      <c r="G205" s="5"/>
    </row>
    <row r="206">
      <c r="C206" s="5"/>
      <c r="D206" s="5"/>
      <c r="E206" s="5"/>
      <c r="F206" s="5"/>
      <c r="G206" s="5"/>
    </row>
    <row r="207">
      <c r="C207" s="5"/>
      <c r="D207" s="5"/>
      <c r="E207" s="5"/>
      <c r="F207" s="5"/>
      <c r="G207" s="5"/>
    </row>
    <row r="208">
      <c r="C208" s="5"/>
      <c r="D208" s="5"/>
      <c r="E208" s="5"/>
      <c r="F208" s="5"/>
      <c r="G208" s="5"/>
    </row>
    <row r="209">
      <c r="C209" s="5"/>
      <c r="D209" s="5"/>
      <c r="E209" s="5"/>
      <c r="F209" s="5"/>
      <c r="G209" s="5"/>
    </row>
    <row r="210">
      <c r="C210" s="5"/>
      <c r="D210" s="5"/>
      <c r="E210" s="5"/>
      <c r="F210" s="5"/>
      <c r="G210" s="5"/>
    </row>
    <row r="211">
      <c r="C211" s="5"/>
      <c r="D211" s="5"/>
      <c r="E211" s="5"/>
      <c r="F211" s="5"/>
      <c r="G211" s="5"/>
    </row>
    <row r="212">
      <c r="C212" s="5"/>
      <c r="D212" s="5"/>
      <c r="E212" s="5"/>
      <c r="F212" s="5"/>
      <c r="G212" s="5"/>
    </row>
    <row r="213">
      <c r="C213" s="5"/>
      <c r="D213" s="5"/>
      <c r="E213" s="5"/>
      <c r="F213" s="5"/>
      <c r="G213" s="5"/>
    </row>
    <row r="214">
      <c r="C214" s="5"/>
      <c r="D214" s="5"/>
      <c r="E214" s="5"/>
      <c r="F214" s="5"/>
      <c r="G214" s="5"/>
    </row>
    <row r="215">
      <c r="C215" s="5"/>
      <c r="D215" s="5"/>
      <c r="E215" s="5"/>
      <c r="F215" s="5"/>
      <c r="G215" s="5"/>
    </row>
    <row r="216">
      <c r="C216" s="5"/>
      <c r="D216" s="5"/>
      <c r="E216" s="5"/>
      <c r="F216" s="5"/>
      <c r="G216" s="5"/>
    </row>
    <row r="217">
      <c r="C217" s="5"/>
      <c r="D217" s="5"/>
      <c r="E217" s="5"/>
      <c r="F217" s="5"/>
      <c r="G217" s="5"/>
    </row>
    <row r="218">
      <c r="C218" s="5"/>
      <c r="D218" s="5"/>
      <c r="E218" s="5"/>
      <c r="F218" s="5"/>
      <c r="G218" s="5"/>
    </row>
    <row r="219">
      <c r="C219" s="5"/>
      <c r="D219" s="5"/>
      <c r="E219" s="5"/>
      <c r="F219" s="5"/>
      <c r="G219" s="5"/>
    </row>
    <row r="220">
      <c r="C220" s="5"/>
      <c r="D220" s="5"/>
      <c r="E220" s="5"/>
      <c r="F220" s="5"/>
      <c r="G220" s="5"/>
    </row>
    <row r="221">
      <c r="C221" s="5"/>
      <c r="D221" s="5"/>
      <c r="E221" s="5"/>
      <c r="F221" s="5"/>
      <c r="G221" s="5"/>
    </row>
    <row r="222">
      <c r="C222" s="5"/>
      <c r="D222" s="5"/>
      <c r="E222" s="5"/>
      <c r="F222" s="5"/>
      <c r="G222" s="5"/>
    </row>
    <row r="223">
      <c r="C223" s="5"/>
      <c r="D223" s="5"/>
      <c r="E223" s="5"/>
      <c r="F223" s="5"/>
      <c r="G223" s="5"/>
    </row>
    <row r="224">
      <c r="C224" s="5"/>
      <c r="D224" s="5"/>
      <c r="E224" s="5"/>
      <c r="F224" s="5"/>
      <c r="G224" s="5"/>
    </row>
    <row r="225">
      <c r="C225" s="5"/>
      <c r="D225" s="5"/>
      <c r="E225" s="5"/>
      <c r="F225" s="5"/>
      <c r="G225" s="5"/>
    </row>
    <row r="226">
      <c r="C226" s="5"/>
      <c r="D226" s="5"/>
      <c r="E226" s="5"/>
      <c r="F226" s="5"/>
      <c r="G226" s="5"/>
    </row>
    <row r="227">
      <c r="C227" s="5"/>
      <c r="D227" s="5"/>
      <c r="E227" s="5"/>
      <c r="F227" s="5"/>
      <c r="G227" s="5"/>
    </row>
    <row r="228">
      <c r="C228" s="5"/>
      <c r="D228" s="5"/>
      <c r="E228" s="5"/>
      <c r="F228" s="5"/>
      <c r="G228" s="5"/>
    </row>
    <row r="229">
      <c r="C229" s="5"/>
      <c r="D229" s="5"/>
      <c r="E229" s="5"/>
      <c r="F229" s="5"/>
      <c r="G229" s="5"/>
    </row>
    <row r="230">
      <c r="C230" s="5"/>
      <c r="D230" s="5"/>
      <c r="E230" s="5"/>
      <c r="F230" s="5"/>
      <c r="G230" s="5"/>
    </row>
    <row r="231">
      <c r="C231" s="5"/>
      <c r="D231" s="5"/>
      <c r="E231" s="5"/>
      <c r="F231" s="5"/>
      <c r="G231" s="5"/>
    </row>
    <row r="232">
      <c r="C232" s="5"/>
      <c r="D232" s="5"/>
      <c r="E232" s="5"/>
      <c r="F232" s="5"/>
      <c r="G232" s="5"/>
    </row>
    <row r="233">
      <c r="C233" s="5"/>
      <c r="D233" s="5"/>
      <c r="E233" s="5"/>
      <c r="F233" s="5"/>
      <c r="G233" s="5"/>
    </row>
    <row r="234">
      <c r="C234" s="5"/>
      <c r="D234" s="5"/>
      <c r="E234" s="5"/>
      <c r="F234" s="5"/>
      <c r="G234" s="5"/>
    </row>
    <row r="235">
      <c r="C235" s="5"/>
      <c r="D235" s="5"/>
      <c r="E235" s="5"/>
      <c r="F235" s="5"/>
      <c r="G235" s="5"/>
    </row>
    <row r="236">
      <c r="C236" s="5"/>
      <c r="D236" s="5"/>
      <c r="E236" s="5"/>
      <c r="F236" s="5"/>
      <c r="G236" s="5"/>
    </row>
    <row r="237">
      <c r="C237" s="5"/>
      <c r="D237" s="5"/>
      <c r="E237" s="5"/>
      <c r="F237" s="5"/>
      <c r="G237" s="5"/>
    </row>
    <row r="238">
      <c r="C238" s="5"/>
      <c r="D238" s="5"/>
      <c r="E238" s="5"/>
      <c r="F238" s="5"/>
      <c r="G238" s="5"/>
    </row>
    <row r="239">
      <c r="C239" s="5"/>
      <c r="D239" s="5"/>
      <c r="E239" s="5"/>
      <c r="F239" s="5"/>
      <c r="G239" s="5"/>
    </row>
    <row r="240">
      <c r="C240" s="5"/>
      <c r="D240" s="5"/>
      <c r="E240" s="5"/>
      <c r="F240" s="5"/>
      <c r="G240" s="5"/>
    </row>
    <row r="241">
      <c r="C241" s="5"/>
      <c r="D241" s="5"/>
      <c r="E241" s="5"/>
      <c r="F241" s="5"/>
      <c r="G241" s="5"/>
    </row>
    <row r="242">
      <c r="C242" s="5"/>
      <c r="D242" s="5"/>
      <c r="E242" s="5"/>
      <c r="F242" s="5"/>
      <c r="G242" s="5"/>
    </row>
    <row r="243">
      <c r="C243" s="5"/>
      <c r="D243" s="5"/>
      <c r="E243" s="5"/>
      <c r="F243" s="5"/>
      <c r="G243" s="5"/>
    </row>
    <row r="244">
      <c r="C244" s="5"/>
      <c r="D244" s="5"/>
      <c r="E244" s="5"/>
      <c r="F244" s="5"/>
      <c r="G244" s="5"/>
    </row>
    <row r="245">
      <c r="C245" s="5"/>
      <c r="D245" s="5"/>
      <c r="E245" s="5"/>
      <c r="F245" s="5"/>
      <c r="G245" s="5"/>
    </row>
    <row r="246">
      <c r="C246" s="5"/>
      <c r="D246" s="5"/>
      <c r="E246" s="5"/>
      <c r="F246" s="5"/>
      <c r="G246" s="5"/>
    </row>
    <row r="247">
      <c r="C247" s="5"/>
      <c r="D247" s="5"/>
      <c r="E247" s="5"/>
      <c r="F247" s="5"/>
      <c r="G247" s="5"/>
    </row>
    <row r="248">
      <c r="C248" s="5"/>
      <c r="D248" s="5"/>
      <c r="E248" s="5"/>
      <c r="F248" s="5"/>
      <c r="G248" s="5"/>
    </row>
    <row r="249">
      <c r="C249" s="5"/>
      <c r="D249" s="5"/>
      <c r="E249" s="5"/>
      <c r="F249" s="5"/>
      <c r="G249" s="5"/>
    </row>
    <row r="250">
      <c r="C250" s="5"/>
      <c r="D250" s="5"/>
      <c r="E250" s="5"/>
      <c r="F250" s="5"/>
      <c r="G250" s="5"/>
    </row>
    <row r="251">
      <c r="C251" s="5"/>
      <c r="D251" s="5"/>
      <c r="E251" s="5"/>
      <c r="F251" s="5"/>
      <c r="G251" s="5"/>
    </row>
    <row r="252">
      <c r="C252" s="5"/>
      <c r="D252" s="5"/>
      <c r="E252" s="5"/>
      <c r="F252" s="5"/>
      <c r="G252" s="5"/>
    </row>
    <row r="253">
      <c r="C253" s="5"/>
      <c r="D253" s="5"/>
      <c r="E253" s="5"/>
      <c r="F253" s="5"/>
      <c r="G253" s="5"/>
    </row>
    <row r="254">
      <c r="C254" s="5"/>
      <c r="D254" s="5"/>
      <c r="E254" s="5"/>
      <c r="F254" s="5"/>
      <c r="G254" s="5"/>
    </row>
    <row r="255">
      <c r="C255" s="5"/>
      <c r="D255" s="5"/>
      <c r="E255" s="5"/>
      <c r="F255" s="5"/>
      <c r="G255" s="5"/>
    </row>
    <row r="256">
      <c r="C256" s="5"/>
      <c r="D256" s="5"/>
      <c r="E256" s="5"/>
      <c r="F256" s="5"/>
      <c r="G256" s="5"/>
    </row>
    <row r="257">
      <c r="C257" s="5"/>
      <c r="D257" s="5"/>
      <c r="E257" s="5"/>
      <c r="F257" s="5"/>
      <c r="G257" s="5"/>
    </row>
    <row r="258">
      <c r="C258" s="5"/>
      <c r="D258" s="5"/>
      <c r="E258" s="5"/>
      <c r="F258" s="5"/>
      <c r="G258" s="5"/>
    </row>
    <row r="259">
      <c r="C259" s="5"/>
      <c r="D259" s="5"/>
      <c r="E259" s="5"/>
      <c r="F259" s="5"/>
      <c r="G259" s="5"/>
    </row>
    <row r="260">
      <c r="C260" s="5"/>
      <c r="D260" s="5"/>
      <c r="E260" s="5"/>
      <c r="F260" s="5"/>
      <c r="G260" s="5"/>
    </row>
    <row r="261">
      <c r="C261" s="5"/>
      <c r="D261" s="5"/>
      <c r="E261" s="5"/>
      <c r="F261" s="5"/>
      <c r="G261" s="5"/>
    </row>
    <row r="262">
      <c r="C262" s="5"/>
      <c r="D262" s="5"/>
      <c r="E262" s="5"/>
      <c r="F262" s="5"/>
      <c r="G262" s="5"/>
    </row>
    <row r="263">
      <c r="C263" s="5"/>
      <c r="D263" s="5"/>
      <c r="E263" s="5"/>
      <c r="F263" s="5"/>
      <c r="G263" s="5"/>
    </row>
    <row r="264">
      <c r="C264" s="5"/>
      <c r="D264" s="5"/>
      <c r="E264" s="5"/>
      <c r="F264" s="5"/>
      <c r="G264" s="5"/>
    </row>
    <row r="265">
      <c r="C265" s="5"/>
      <c r="D265" s="5"/>
      <c r="E265" s="5"/>
      <c r="F265" s="5"/>
      <c r="G265" s="5"/>
    </row>
    <row r="266">
      <c r="C266" s="5"/>
      <c r="D266" s="5"/>
      <c r="E266" s="5"/>
      <c r="F266" s="5"/>
      <c r="G266" s="5"/>
    </row>
    <row r="267">
      <c r="C267" s="5"/>
      <c r="D267" s="5"/>
      <c r="E267" s="5"/>
      <c r="F267" s="5"/>
      <c r="G267" s="5"/>
    </row>
    <row r="268">
      <c r="C268" s="5"/>
      <c r="D268" s="5"/>
      <c r="E268" s="5"/>
      <c r="F268" s="5"/>
      <c r="G268" s="5"/>
    </row>
    <row r="269">
      <c r="C269" s="5"/>
      <c r="D269" s="5"/>
      <c r="E269" s="5"/>
      <c r="F269" s="5"/>
      <c r="G269" s="5"/>
    </row>
    <row r="270">
      <c r="C270" s="5"/>
      <c r="D270" s="5"/>
      <c r="E270" s="5"/>
      <c r="F270" s="5"/>
      <c r="G270" s="5"/>
    </row>
    <row r="271">
      <c r="C271" s="5"/>
      <c r="D271" s="5"/>
      <c r="E271" s="5"/>
      <c r="F271" s="5"/>
      <c r="G271" s="5"/>
    </row>
    <row r="272">
      <c r="C272" s="5"/>
      <c r="D272" s="5"/>
      <c r="E272" s="5"/>
      <c r="F272" s="5"/>
      <c r="G272" s="5"/>
    </row>
    <row r="273">
      <c r="C273" s="5"/>
      <c r="D273" s="5"/>
      <c r="E273" s="5"/>
      <c r="F273" s="5"/>
      <c r="G273" s="5"/>
    </row>
    <row r="274">
      <c r="C274" s="5"/>
      <c r="D274" s="5"/>
      <c r="E274" s="5"/>
      <c r="F274" s="5"/>
      <c r="G274" s="5"/>
    </row>
    <row r="275">
      <c r="C275" s="5"/>
      <c r="D275" s="5"/>
      <c r="E275" s="5"/>
      <c r="F275" s="5"/>
      <c r="G275" s="5"/>
    </row>
    <row r="276">
      <c r="C276" s="5"/>
      <c r="D276" s="5"/>
      <c r="E276" s="5"/>
      <c r="F276" s="5"/>
      <c r="G276" s="5"/>
    </row>
    <row r="277">
      <c r="C277" s="5"/>
      <c r="D277" s="5"/>
      <c r="E277" s="5"/>
      <c r="F277" s="5"/>
      <c r="G277" s="5"/>
    </row>
    <row r="278">
      <c r="C278" s="5"/>
      <c r="D278" s="5"/>
      <c r="E278" s="5"/>
      <c r="F278" s="5"/>
      <c r="G278" s="5"/>
    </row>
    <row r="279">
      <c r="C279" s="5"/>
      <c r="D279" s="5"/>
      <c r="E279" s="5"/>
      <c r="F279" s="5"/>
      <c r="G279" s="5"/>
    </row>
    <row r="280">
      <c r="C280" s="5"/>
      <c r="D280" s="5"/>
      <c r="E280" s="5"/>
      <c r="F280" s="5"/>
      <c r="G280" s="5"/>
    </row>
    <row r="281">
      <c r="C281" s="5"/>
      <c r="D281" s="5"/>
      <c r="E281" s="5"/>
      <c r="F281" s="5"/>
      <c r="G281" s="5"/>
    </row>
    <row r="282">
      <c r="C282" s="5"/>
      <c r="D282" s="5"/>
      <c r="E282" s="5"/>
      <c r="F282" s="5"/>
      <c r="G282" s="5"/>
    </row>
    <row r="283">
      <c r="C283" s="5"/>
      <c r="D283" s="5"/>
      <c r="E283" s="5"/>
      <c r="F283" s="5"/>
      <c r="G283" s="5"/>
    </row>
    <row r="284">
      <c r="C284" s="5"/>
      <c r="D284" s="5"/>
      <c r="E284" s="5"/>
      <c r="F284" s="5"/>
      <c r="G284" s="5"/>
    </row>
    <row r="285">
      <c r="C285" s="5"/>
      <c r="D285" s="5"/>
      <c r="E285" s="5"/>
      <c r="F285" s="5"/>
      <c r="G285" s="5"/>
    </row>
    <row r="286">
      <c r="C286" s="5"/>
      <c r="D286" s="5"/>
      <c r="E286" s="5"/>
      <c r="F286" s="5"/>
      <c r="G286" s="5"/>
    </row>
    <row r="287">
      <c r="C287" s="5"/>
      <c r="D287" s="5"/>
      <c r="E287" s="5"/>
      <c r="F287" s="5"/>
      <c r="G287" s="5"/>
    </row>
    <row r="288">
      <c r="C288" s="5"/>
      <c r="D288" s="5"/>
      <c r="E288" s="5"/>
      <c r="F288" s="5"/>
      <c r="G288" s="5"/>
    </row>
    <row r="289">
      <c r="C289" s="5"/>
      <c r="D289" s="5"/>
      <c r="E289" s="5"/>
      <c r="F289" s="5"/>
      <c r="G289" s="5"/>
    </row>
    <row r="290">
      <c r="C290" s="5"/>
      <c r="D290" s="5"/>
      <c r="E290" s="5"/>
      <c r="F290" s="5"/>
      <c r="G290" s="5"/>
    </row>
    <row r="291">
      <c r="C291" s="5"/>
      <c r="D291" s="5"/>
      <c r="E291" s="5"/>
      <c r="F291" s="5"/>
      <c r="G291" s="5"/>
    </row>
    <row r="292">
      <c r="C292" s="5"/>
      <c r="D292" s="5"/>
      <c r="E292" s="5"/>
      <c r="F292" s="5"/>
      <c r="G292" s="5"/>
    </row>
    <row r="293">
      <c r="C293" s="5"/>
      <c r="D293" s="5"/>
      <c r="E293" s="5"/>
      <c r="F293" s="5"/>
      <c r="G293" s="5"/>
    </row>
    <row r="294">
      <c r="C294" s="5"/>
      <c r="D294" s="5"/>
      <c r="E294" s="5"/>
      <c r="F294" s="5"/>
      <c r="G294" s="5"/>
    </row>
    <row r="295">
      <c r="C295" s="5"/>
      <c r="D295" s="5"/>
      <c r="E295" s="5"/>
      <c r="F295" s="5"/>
      <c r="G295" s="5"/>
    </row>
    <row r="296">
      <c r="C296" s="5"/>
      <c r="D296" s="5"/>
      <c r="E296" s="5"/>
      <c r="F296" s="5"/>
      <c r="G296" s="5"/>
    </row>
    <row r="297">
      <c r="C297" s="5"/>
      <c r="D297" s="5"/>
      <c r="E297" s="5"/>
      <c r="F297" s="5"/>
      <c r="G297" s="5"/>
    </row>
    <row r="298">
      <c r="C298" s="5"/>
      <c r="D298" s="5"/>
      <c r="E298" s="5"/>
      <c r="F298" s="5"/>
      <c r="G298" s="5"/>
    </row>
    <row r="299">
      <c r="C299" s="5"/>
      <c r="D299" s="5"/>
      <c r="E299" s="5"/>
      <c r="F299" s="5"/>
      <c r="G299" s="5"/>
    </row>
    <row r="300">
      <c r="C300" s="5"/>
      <c r="D300" s="5"/>
      <c r="E300" s="5"/>
      <c r="F300" s="5"/>
      <c r="G300" s="5"/>
    </row>
    <row r="301">
      <c r="C301" s="5"/>
      <c r="D301" s="5"/>
      <c r="E301" s="5"/>
      <c r="F301" s="5"/>
      <c r="G301" s="5"/>
    </row>
    <row r="302">
      <c r="C302" s="5"/>
      <c r="D302" s="5"/>
      <c r="E302" s="5"/>
      <c r="F302" s="5"/>
      <c r="G302" s="5"/>
    </row>
    <row r="303">
      <c r="C303" s="5"/>
      <c r="D303" s="5"/>
      <c r="E303" s="5"/>
      <c r="F303" s="5"/>
      <c r="G303" s="5"/>
    </row>
    <row r="304">
      <c r="C304" s="5"/>
      <c r="D304" s="5"/>
      <c r="E304" s="5"/>
      <c r="F304" s="5"/>
      <c r="G304" s="5"/>
    </row>
    <row r="305">
      <c r="C305" s="5"/>
      <c r="D305" s="5"/>
      <c r="E305" s="5"/>
      <c r="F305" s="5"/>
      <c r="G305" s="5"/>
    </row>
    <row r="306">
      <c r="C306" s="5"/>
      <c r="D306" s="5"/>
      <c r="E306" s="5"/>
      <c r="F306" s="5"/>
      <c r="G306" s="5"/>
    </row>
    <row r="307">
      <c r="C307" s="5"/>
      <c r="D307" s="5"/>
      <c r="E307" s="5"/>
      <c r="F307" s="5"/>
      <c r="G307" s="5"/>
    </row>
    <row r="308">
      <c r="C308" s="5"/>
      <c r="D308" s="5"/>
      <c r="E308" s="5"/>
      <c r="F308" s="5"/>
      <c r="G308" s="5"/>
    </row>
    <row r="309">
      <c r="C309" s="5"/>
      <c r="D309" s="5"/>
      <c r="E309" s="5"/>
      <c r="F309" s="5"/>
      <c r="G309" s="5"/>
    </row>
    <row r="310">
      <c r="C310" s="5"/>
      <c r="D310" s="5"/>
      <c r="E310" s="5"/>
      <c r="F310" s="5"/>
      <c r="G310" s="5"/>
    </row>
    <row r="311">
      <c r="C311" s="5"/>
      <c r="D311" s="5"/>
      <c r="E311" s="5"/>
      <c r="F311" s="5"/>
      <c r="G311" s="5"/>
    </row>
    <row r="312">
      <c r="C312" s="5"/>
      <c r="D312" s="5"/>
      <c r="E312" s="5"/>
      <c r="F312" s="5"/>
      <c r="G312" s="5"/>
    </row>
    <row r="313">
      <c r="C313" s="5"/>
      <c r="D313" s="5"/>
      <c r="E313" s="5"/>
      <c r="F313" s="5"/>
      <c r="G313" s="5"/>
    </row>
    <row r="314">
      <c r="C314" s="5"/>
      <c r="D314" s="5"/>
      <c r="E314" s="5"/>
      <c r="F314" s="5"/>
      <c r="G314" s="5"/>
    </row>
    <row r="315">
      <c r="C315" s="5"/>
      <c r="D315" s="5"/>
      <c r="E315" s="5"/>
      <c r="F315" s="5"/>
      <c r="G315" s="5"/>
    </row>
    <row r="316">
      <c r="C316" s="5"/>
      <c r="D316" s="5"/>
      <c r="E316" s="5"/>
      <c r="F316" s="5"/>
      <c r="G316" s="5"/>
    </row>
    <row r="317">
      <c r="C317" s="5"/>
      <c r="D317" s="5"/>
      <c r="E317" s="5"/>
      <c r="F317" s="5"/>
      <c r="G317" s="5"/>
    </row>
    <row r="318">
      <c r="C318" s="5"/>
      <c r="D318" s="5"/>
      <c r="E318" s="5"/>
      <c r="F318" s="5"/>
      <c r="G318" s="5"/>
    </row>
    <row r="319">
      <c r="C319" s="5"/>
      <c r="D319" s="5"/>
      <c r="E319" s="5"/>
      <c r="F319" s="5"/>
      <c r="G319" s="5"/>
    </row>
    <row r="320">
      <c r="C320" s="5"/>
      <c r="D320" s="5"/>
      <c r="E320" s="5"/>
      <c r="F320" s="5"/>
      <c r="G320" s="5"/>
    </row>
    <row r="321">
      <c r="C321" s="5"/>
      <c r="D321" s="5"/>
      <c r="E321" s="5"/>
      <c r="F321" s="5"/>
      <c r="G321" s="5"/>
    </row>
    <row r="322">
      <c r="C322" s="5"/>
      <c r="D322" s="5"/>
      <c r="E322" s="5"/>
      <c r="F322" s="5"/>
      <c r="G322" s="5"/>
    </row>
    <row r="323">
      <c r="C323" s="5"/>
      <c r="D323" s="5"/>
      <c r="E323" s="5"/>
      <c r="F323" s="5"/>
      <c r="G323" s="5"/>
    </row>
    <row r="324">
      <c r="C324" s="5"/>
      <c r="D324" s="5"/>
      <c r="E324" s="5"/>
      <c r="F324" s="5"/>
      <c r="G324" s="5"/>
    </row>
    <row r="325">
      <c r="C325" s="5"/>
      <c r="D325" s="5"/>
      <c r="E325" s="5"/>
      <c r="F325" s="5"/>
      <c r="G325" s="5"/>
    </row>
    <row r="326">
      <c r="C326" s="5"/>
      <c r="D326" s="5"/>
      <c r="E326" s="5"/>
      <c r="F326" s="5"/>
      <c r="G326" s="5"/>
    </row>
    <row r="327">
      <c r="C327" s="5"/>
      <c r="D327" s="5"/>
      <c r="E327" s="5"/>
      <c r="F327" s="5"/>
      <c r="G327" s="5"/>
    </row>
    <row r="328">
      <c r="C328" s="5"/>
      <c r="D328" s="5"/>
      <c r="E328" s="5"/>
      <c r="F328" s="5"/>
      <c r="G328" s="5"/>
    </row>
    <row r="329">
      <c r="C329" s="5"/>
      <c r="D329" s="5"/>
      <c r="E329" s="5"/>
      <c r="F329" s="5"/>
      <c r="G329" s="5"/>
    </row>
    <row r="330">
      <c r="C330" s="5"/>
      <c r="D330" s="5"/>
      <c r="E330" s="5"/>
      <c r="F330" s="5"/>
      <c r="G330" s="5"/>
    </row>
    <row r="331">
      <c r="C331" s="5"/>
      <c r="D331" s="5"/>
      <c r="E331" s="5"/>
      <c r="F331" s="5"/>
      <c r="G331" s="5"/>
    </row>
    <row r="332">
      <c r="C332" s="5"/>
      <c r="D332" s="5"/>
      <c r="E332" s="5"/>
      <c r="F332" s="5"/>
      <c r="G332" s="5"/>
    </row>
    <row r="333">
      <c r="C333" s="5"/>
      <c r="D333" s="5"/>
      <c r="E333" s="5"/>
      <c r="F333" s="5"/>
      <c r="G333" s="5"/>
    </row>
    <row r="334">
      <c r="C334" s="5"/>
      <c r="D334" s="5"/>
      <c r="E334" s="5"/>
      <c r="F334" s="5"/>
      <c r="G334" s="5"/>
    </row>
    <row r="335">
      <c r="C335" s="5"/>
      <c r="D335" s="5"/>
      <c r="E335" s="5"/>
      <c r="F335" s="5"/>
      <c r="G335" s="5"/>
    </row>
    <row r="336">
      <c r="C336" s="5"/>
      <c r="D336" s="5"/>
      <c r="E336" s="5"/>
      <c r="F336" s="5"/>
      <c r="G336" s="5"/>
    </row>
    <row r="337">
      <c r="C337" s="5"/>
      <c r="D337" s="5"/>
      <c r="E337" s="5"/>
      <c r="F337" s="5"/>
      <c r="G337" s="5"/>
    </row>
    <row r="338">
      <c r="C338" s="5"/>
      <c r="D338" s="5"/>
      <c r="E338" s="5"/>
      <c r="F338" s="5"/>
      <c r="G338" s="5"/>
    </row>
    <row r="339">
      <c r="C339" s="5"/>
      <c r="D339" s="5"/>
      <c r="E339" s="5"/>
      <c r="F339" s="5"/>
      <c r="G339" s="5"/>
    </row>
    <row r="340">
      <c r="C340" s="5"/>
      <c r="D340" s="5"/>
      <c r="E340" s="5"/>
      <c r="F340" s="5"/>
      <c r="G340" s="5"/>
    </row>
    <row r="341">
      <c r="C341" s="5"/>
      <c r="D341" s="5"/>
      <c r="E341" s="5"/>
      <c r="F341" s="5"/>
      <c r="G341" s="5"/>
    </row>
    <row r="342">
      <c r="C342" s="5"/>
      <c r="D342" s="5"/>
      <c r="E342" s="5"/>
      <c r="F342" s="5"/>
      <c r="G342" s="5"/>
    </row>
    <row r="343">
      <c r="C343" s="5"/>
      <c r="D343" s="5"/>
      <c r="E343" s="5"/>
      <c r="F343" s="5"/>
      <c r="G343" s="5"/>
    </row>
    <row r="344">
      <c r="C344" s="5"/>
      <c r="D344" s="5"/>
      <c r="E344" s="5"/>
      <c r="F344" s="5"/>
      <c r="G344" s="5"/>
    </row>
    <row r="345">
      <c r="C345" s="5"/>
      <c r="D345" s="5"/>
      <c r="E345" s="5"/>
      <c r="F345" s="5"/>
      <c r="G345" s="5"/>
    </row>
    <row r="346">
      <c r="C346" s="5"/>
      <c r="D346" s="5"/>
      <c r="E346" s="5"/>
      <c r="F346" s="5"/>
      <c r="G346" s="5"/>
    </row>
    <row r="347">
      <c r="C347" s="5"/>
      <c r="D347" s="5"/>
      <c r="E347" s="5"/>
      <c r="F347" s="5"/>
      <c r="G347" s="5"/>
    </row>
    <row r="348">
      <c r="C348" s="5"/>
      <c r="D348" s="5"/>
      <c r="E348" s="5"/>
      <c r="F348" s="5"/>
      <c r="G348" s="5"/>
    </row>
    <row r="349">
      <c r="C349" s="5"/>
      <c r="D349" s="5"/>
      <c r="E349" s="5"/>
      <c r="F349" s="5"/>
      <c r="G349" s="5"/>
    </row>
    <row r="350">
      <c r="C350" s="5"/>
      <c r="D350" s="5"/>
      <c r="E350" s="5"/>
      <c r="F350" s="5"/>
      <c r="G350" s="5"/>
    </row>
    <row r="351">
      <c r="C351" s="5"/>
      <c r="D351" s="5"/>
      <c r="E351" s="5"/>
      <c r="F351" s="5"/>
      <c r="G351" s="5"/>
    </row>
    <row r="352">
      <c r="C352" s="5"/>
      <c r="D352" s="5"/>
      <c r="E352" s="5"/>
      <c r="F352" s="5"/>
      <c r="G352" s="5"/>
    </row>
    <row r="353">
      <c r="C353" s="5"/>
      <c r="D353" s="5"/>
      <c r="E353" s="5"/>
      <c r="F353" s="5"/>
      <c r="G353" s="5"/>
    </row>
    <row r="354">
      <c r="C354" s="5"/>
      <c r="D354" s="5"/>
      <c r="E354" s="5"/>
      <c r="F354" s="5"/>
      <c r="G354" s="5"/>
    </row>
    <row r="355">
      <c r="C355" s="5"/>
      <c r="D355" s="5"/>
      <c r="E355" s="5"/>
      <c r="F355" s="5"/>
      <c r="G355" s="5"/>
    </row>
    <row r="356">
      <c r="C356" s="5"/>
      <c r="D356" s="5"/>
      <c r="E356" s="5"/>
      <c r="F356" s="5"/>
      <c r="G356" s="5"/>
    </row>
    <row r="357">
      <c r="C357" s="5"/>
      <c r="D357" s="5"/>
      <c r="E357" s="5"/>
      <c r="F357" s="5"/>
      <c r="G357" s="5"/>
    </row>
    <row r="358">
      <c r="C358" s="5"/>
      <c r="D358" s="5"/>
      <c r="E358" s="5"/>
      <c r="F358" s="5"/>
      <c r="G358" s="5"/>
    </row>
    <row r="359">
      <c r="C359" s="5"/>
      <c r="D359" s="5"/>
      <c r="E359" s="5"/>
      <c r="F359" s="5"/>
      <c r="G359" s="5"/>
    </row>
    <row r="360">
      <c r="C360" s="5"/>
      <c r="D360" s="5"/>
      <c r="E360" s="5"/>
      <c r="F360" s="5"/>
      <c r="G360" s="5"/>
    </row>
    <row r="361">
      <c r="C361" s="5"/>
      <c r="D361" s="5"/>
      <c r="E361" s="5"/>
      <c r="F361" s="5"/>
      <c r="G361" s="5"/>
    </row>
    <row r="362">
      <c r="C362" s="5"/>
      <c r="D362" s="5"/>
      <c r="E362" s="5"/>
      <c r="F362" s="5"/>
      <c r="G362" s="5"/>
    </row>
    <row r="363">
      <c r="C363" s="5"/>
      <c r="D363" s="5"/>
      <c r="E363" s="5"/>
      <c r="F363" s="5"/>
      <c r="G363" s="5"/>
    </row>
    <row r="364">
      <c r="C364" s="5"/>
      <c r="D364" s="5"/>
      <c r="E364" s="5"/>
      <c r="F364" s="5"/>
      <c r="G364" s="5"/>
    </row>
    <row r="365">
      <c r="C365" s="5"/>
      <c r="D365" s="5"/>
      <c r="E365" s="5"/>
      <c r="F365" s="5"/>
      <c r="G365" s="5"/>
    </row>
    <row r="366">
      <c r="C366" s="5"/>
      <c r="D366" s="5"/>
      <c r="E366" s="5"/>
      <c r="F366" s="5"/>
      <c r="G366" s="5"/>
    </row>
    <row r="367">
      <c r="C367" s="5"/>
      <c r="D367" s="5"/>
      <c r="E367" s="5"/>
      <c r="F367" s="5"/>
      <c r="G367" s="5"/>
    </row>
    <row r="368">
      <c r="C368" s="5"/>
      <c r="D368" s="5"/>
      <c r="E368" s="5"/>
      <c r="F368" s="5"/>
      <c r="G368" s="5"/>
    </row>
    <row r="369">
      <c r="C369" s="5"/>
      <c r="D369" s="5"/>
      <c r="E369" s="5"/>
      <c r="F369" s="5"/>
      <c r="G369" s="5"/>
    </row>
    <row r="370">
      <c r="C370" s="5"/>
      <c r="D370" s="5"/>
      <c r="E370" s="5"/>
      <c r="F370" s="5"/>
      <c r="G370" s="5"/>
    </row>
    <row r="371">
      <c r="C371" s="5"/>
      <c r="D371" s="5"/>
      <c r="E371" s="5"/>
      <c r="F371" s="5"/>
      <c r="G371" s="5"/>
    </row>
    <row r="372">
      <c r="C372" s="5"/>
      <c r="D372" s="5"/>
      <c r="E372" s="5"/>
      <c r="F372" s="5"/>
      <c r="G372" s="5"/>
    </row>
    <row r="373">
      <c r="C373" s="5"/>
      <c r="D373" s="5"/>
      <c r="E373" s="5"/>
      <c r="F373" s="5"/>
      <c r="G373" s="5"/>
    </row>
    <row r="374">
      <c r="C374" s="5"/>
      <c r="D374" s="5"/>
      <c r="E374" s="5"/>
      <c r="F374" s="5"/>
      <c r="G374" s="5"/>
    </row>
    <row r="375">
      <c r="C375" s="5"/>
      <c r="D375" s="5"/>
      <c r="E375" s="5"/>
      <c r="F375" s="5"/>
      <c r="G375" s="5"/>
    </row>
    <row r="376">
      <c r="C376" s="5"/>
      <c r="D376" s="5"/>
      <c r="E376" s="5"/>
      <c r="F376" s="5"/>
      <c r="G376" s="5"/>
    </row>
    <row r="377">
      <c r="C377" s="5"/>
      <c r="D377" s="5"/>
      <c r="E377" s="5"/>
      <c r="F377" s="5"/>
      <c r="G377" s="5"/>
    </row>
    <row r="378">
      <c r="C378" s="5"/>
      <c r="D378" s="5"/>
      <c r="E378" s="5"/>
      <c r="F378" s="5"/>
      <c r="G378" s="5"/>
    </row>
    <row r="379">
      <c r="C379" s="5"/>
      <c r="D379" s="5"/>
      <c r="E379" s="5"/>
      <c r="F379" s="5"/>
      <c r="G379" s="5"/>
    </row>
    <row r="380">
      <c r="C380" s="5"/>
      <c r="D380" s="5"/>
      <c r="E380" s="5"/>
      <c r="F380" s="5"/>
      <c r="G380" s="5"/>
    </row>
    <row r="381">
      <c r="C381" s="5"/>
      <c r="D381" s="5"/>
      <c r="E381" s="5"/>
      <c r="F381" s="5"/>
      <c r="G381" s="5"/>
    </row>
    <row r="382">
      <c r="C382" s="5"/>
      <c r="D382" s="5"/>
      <c r="E382" s="5"/>
      <c r="F382" s="5"/>
      <c r="G382" s="5"/>
    </row>
    <row r="383">
      <c r="C383" s="5"/>
      <c r="D383" s="5"/>
      <c r="E383" s="5"/>
      <c r="F383" s="5"/>
      <c r="G383" s="5"/>
    </row>
    <row r="384">
      <c r="C384" s="5"/>
      <c r="D384" s="5"/>
      <c r="E384" s="5"/>
      <c r="F384" s="5"/>
      <c r="G384" s="5"/>
    </row>
    <row r="385">
      <c r="C385" s="5"/>
      <c r="D385" s="5"/>
      <c r="E385" s="5"/>
      <c r="F385" s="5"/>
      <c r="G385" s="5"/>
    </row>
    <row r="386">
      <c r="C386" s="5"/>
      <c r="D386" s="5"/>
      <c r="E386" s="5"/>
      <c r="F386" s="5"/>
      <c r="G386" s="5"/>
    </row>
    <row r="387">
      <c r="C387" s="5"/>
      <c r="D387" s="5"/>
      <c r="E387" s="5"/>
      <c r="F387" s="5"/>
      <c r="G387" s="5"/>
    </row>
    <row r="388">
      <c r="C388" s="5"/>
      <c r="D388" s="5"/>
      <c r="E388" s="5"/>
      <c r="F388" s="5"/>
      <c r="G388" s="5"/>
    </row>
    <row r="389">
      <c r="C389" s="5"/>
      <c r="D389" s="5"/>
      <c r="E389" s="5"/>
      <c r="F389" s="5"/>
      <c r="G389" s="5"/>
    </row>
    <row r="390">
      <c r="C390" s="5"/>
      <c r="D390" s="5"/>
      <c r="E390" s="5"/>
      <c r="F390" s="5"/>
      <c r="G390" s="5"/>
    </row>
    <row r="391">
      <c r="C391" s="5"/>
      <c r="D391" s="5"/>
      <c r="E391" s="5"/>
      <c r="F391" s="5"/>
      <c r="G391" s="5"/>
    </row>
    <row r="392">
      <c r="C392" s="5"/>
      <c r="D392" s="5"/>
      <c r="E392" s="5"/>
      <c r="F392" s="5"/>
      <c r="G392" s="5"/>
    </row>
    <row r="393">
      <c r="C393" s="5"/>
      <c r="D393" s="5"/>
      <c r="E393" s="5"/>
      <c r="F393" s="5"/>
      <c r="G393" s="5"/>
    </row>
    <row r="394">
      <c r="C394" s="5"/>
      <c r="D394" s="5"/>
      <c r="E394" s="5"/>
      <c r="F394" s="5"/>
      <c r="G394" s="5"/>
    </row>
    <row r="395">
      <c r="C395" s="5"/>
      <c r="D395" s="5"/>
      <c r="E395" s="5"/>
      <c r="F395" s="5"/>
      <c r="G395" s="5"/>
    </row>
    <row r="396">
      <c r="C396" s="5"/>
      <c r="D396" s="5"/>
      <c r="E396" s="5"/>
      <c r="F396" s="5"/>
      <c r="G396" s="5"/>
    </row>
    <row r="397">
      <c r="C397" s="5"/>
      <c r="D397" s="5"/>
      <c r="E397" s="5"/>
      <c r="F397" s="5"/>
      <c r="G397" s="5"/>
    </row>
    <row r="398">
      <c r="C398" s="5"/>
      <c r="D398" s="5"/>
      <c r="E398" s="5"/>
      <c r="F398" s="5"/>
      <c r="G398" s="5"/>
    </row>
    <row r="399">
      <c r="C399" s="5"/>
      <c r="D399" s="5"/>
      <c r="E399" s="5"/>
      <c r="F399" s="5"/>
      <c r="G399" s="5"/>
    </row>
    <row r="400">
      <c r="C400" s="5"/>
      <c r="D400" s="5"/>
      <c r="E400" s="5"/>
      <c r="F400" s="5"/>
      <c r="G400" s="5"/>
    </row>
    <row r="401">
      <c r="C401" s="5"/>
      <c r="D401" s="5"/>
      <c r="E401" s="5"/>
      <c r="F401" s="5"/>
      <c r="G401" s="5"/>
    </row>
    <row r="402">
      <c r="C402" s="5"/>
      <c r="D402" s="5"/>
      <c r="E402" s="5"/>
      <c r="F402" s="5"/>
      <c r="G402" s="5"/>
    </row>
    <row r="403">
      <c r="C403" s="5"/>
      <c r="D403" s="5"/>
      <c r="E403" s="5"/>
      <c r="F403" s="5"/>
      <c r="G403" s="5"/>
    </row>
    <row r="404">
      <c r="C404" s="5"/>
      <c r="D404" s="5"/>
      <c r="E404" s="5"/>
      <c r="F404" s="5"/>
      <c r="G404" s="5"/>
    </row>
    <row r="405">
      <c r="C405" s="5"/>
      <c r="D405" s="5"/>
      <c r="E405" s="5"/>
      <c r="F405" s="5"/>
      <c r="G405" s="5"/>
    </row>
    <row r="406">
      <c r="C406" s="5"/>
      <c r="D406" s="5"/>
      <c r="E406" s="5"/>
      <c r="F406" s="5"/>
      <c r="G406" s="5"/>
    </row>
    <row r="407">
      <c r="C407" s="5"/>
      <c r="D407" s="5"/>
      <c r="E407" s="5"/>
      <c r="F407" s="5"/>
      <c r="G407" s="5"/>
    </row>
    <row r="408">
      <c r="C408" s="5"/>
      <c r="D408" s="5"/>
      <c r="E408" s="5"/>
      <c r="F408" s="5"/>
      <c r="G408" s="5"/>
    </row>
    <row r="409">
      <c r="C409" s="5"/>
      <c r="D409" s="5"/>
      <c r="E409" s="5"/>
      <c r="F409" s="5"/>
      <c r="G409" s="5"/>
    </row>
    <row r="410">
      <c r="C410" s="5"/>
      <c r="D410" s="5"/>
      <c r="E410" s="5"/>
      <c r="F410" s="5"/>
      <c r="G410" s="5"/>
    </row>
    <row r="411">
      <c r="C411" s="5"/>
      <c r="D411" s="5"/>
      <c r="E411" s="5"/>
      <c r="F411" s="5"/>
      <c r="G411" s="5"/>
    </row>
    <row r="412">
      <c r="C412" s="5"/>
      <c r="D412" s="5"/>
      <c r="E412" s="5"/>
      <c r="F412" s="5"/>
      <c r="G412" s="5"/>
    </row>
    <row r="413">
      <c r="C413" s="5"/>
      <c r="D413" s="5"/>
      <c r="E413" s="5"/>
      <c r="F413" s="5"/>
      <c r="G413" s="5"/>
    </row>
    <row r="414">
      <c r="C414" s="5"/>
      <c r="D414" s="5"/>
      <c r="E414" s="5"/>
      <c r="F414" s="5"/>
      <c r="G414" s="5"/>
    </row>
    <row r="415">
      <c r="C415" s="5"/>
      <c r="D415" s="5"/>
      <c r="E415" s="5"/>
      <c r="F415" s="5"/>
      <c r="G415" s="5"/>
    </row>
    <row r="416">
      <c r="C416" s="5"/>
      <c r="D416" s="5"/>
      <c r="E416" s="5"/>
      <c r="F416" s="5"/>
      <c r="G416" s="5"/>
    </row>
    <row r="417">
      <c r="C417" s="5"/>
      <c r="D417" s="5"/>
      <c r="E417" s="5"/>
      <c r="F417" s="5"/>
      <c r="G417" s="5"/>
    </row>
    <row r="418">
      <c r="C418" s="5"/>
      <c r="D418" s="5"/>
      <c r="E418" s="5"/>
      <c r="F418" s="5"/>
      <c r="G418" s="5"/>
    </row>
    <row r="419">
      <c r="C419" s="5"/>
      <c r="D419" s="5"/>
      <c r="E419" s="5"/>
      <c r="F419" s="5"/>
      <c r="G419" s="5"/>
    </row>
    <row r="420">
      <c r="C420" s="5"/>
      <c r="D420" s="5"/>
      <c r="E420" s="5"/>
      <c r="F420" s="5"/>
      <c r="G420" s="5"/>
    </row>
    <row r="421">
      <c r="C421" s="5"/>
      <c r="D421" s="5"/>
      <c r="E421" s="5"/>
      <c r="F421" s="5"/>
      <c r="G421" s="5"/>
    </row>
    <row r="422">
      <c r="C422" s="5"/>
      <c r="D422" s="5"/>
      <c r="E422" s="5"/>
      <c r="F422" s="5"/>
      <c r="G422" s="5"/>
    </row>
    <row r="423">
      <c r="C423" s="5"/>
      <c r="D423" s="5"/>
      <c r="E423" s="5"/>
      <c r="F423" s="5"/>
      <c r="G423" s="5"/>
    </row>
    <row r="424">
      <c r="C424" s="5"/>
      <c r="D424" s="5"/>
      <c r="E424" s="5"/>
      <c r="F424" s="5"/>
      <c r="G424" s="5"/>
    </row>
    <row r="425">
      <c r="C425" s="5"/>
      <c r="D425" s="5"/>
      <c r="E425" s="5"/>
      <c r="F425" s="5"/>
      <c r="G425" s="5"/>
    </row>
    <row r="426">
      <c r="C426" s="5"/>
      <c r="D426" s="5"/>
      <c r="E426" s="5"/>
      <c r="F426" s="5"/>
      <c r="G426" s="5"/>
    </row>
    <row r="427">
      <c r="C427" s="5"/>
      <c r="D427" s="5"/>
      <c r="E427" s="5"/>
      <c r="F427" s="5"/>
      <c r="G427" s="5"/>
    </row>
    <row r="428">
      <c r="C428" s="5"/>
      <c r="D428" s="5"/>
      <c r="E428" s="5"/>
      <c r="F428" s="5"/>
      <c r="G428" s="5"/>
    </row>
    <row r="429">
      <c r="C429" s="5"/>
      <c r="D429" s="5"/>
      <c r="E429" s="5"/>
      <c r="F429" s="5"/>
      <c r="G429" s="5"/>
    </row>
    <row r="430">
      <c r="C430" s="5"/>
      <c r="D430" s="5"/>
      <c r="E430" s="5"/>
      <c r="F430" s="5"/>
      <c r="G430" s="5"/>
    </row>
    <row r="431">
      <c r="C431" s="5"/>
      <c r="D431" s="5"/>
      <c r="E431" s="5"/>
      <c r="F431" s="5"/>
      <c r="G431" s="5"/>
    </row>
    <row r="432">
      <c r="C432" s="5"/>
      <c r="D432" s="5"/>
      <c r="E432" s="5"/>
      <c r="F432" s="5"/>
      <c r="G432" s="5"/>
    </row>
    <row r="433">
      <c r="C433" s="5"/>
      <c r="D433" s="5"/>
      <c r="E433" s="5"/>
      <c r="F433" s="5"/>
      <c r="G433" s="5"/>
    </row>
    <row r="434">
      <c r="C434" s="5"/>
      <c r="D434" s="5"/>
      <c r="E434" s="5"/>
      <c r="F434" s="5"/>
      <c r="G434" s="5"/>
    </row>
    <row r="435">
      <c r="C435" s="5"/>
      <c r="D435" s="5"/>
      <c r="E435" s="5"/>
      <c r="F435" s="5"/>
      <c r="G435" s="5"/>
    </row>
    <row r="436">
      <c r="C436" s="5"/>
      <c r="D436" s="5"/>
      <c r="E436" s="5"/>
      <c r="F436" s="5"/>
      <c r="G436" s="5"/>
    </row>
    <row r="437">
      <c r="C437" s="5"/>
      <c r="D437" s="5"/>
      <c r="E437" s="5"/>
      <c r="F437" s="5"/>
      <c r="G437" s="5"/>
    </row>
    <row r="438">
      <c r="C438" s="5"/>
      <c r="D438" s="5"/>
      <c r="E438" s="5"/>
      <c r="F438" s="5"/>
      <c r="G438" s="5"/>
    </row>
    <row r="439">
      <c r="C439" s="5"/>
      <c r="D439" s="5"/>
      <c r="E439" s="5"/>
      <c r="F439" s="5"/>
      <c r="G439" s="5"/>
    </row>
    <row r="440">
      <c r="C440" s="5"/>
      <c r="D440" s="5"/>
      <c r="E440" s="5"/>
      <c r="F440" s="5"/>
      <c r="G440" s="5"/>
    </row>
    <row r="441">
      <c r="C441" s="5"/>
      <c r="D441" s="5"/>
      <c r="E441" s="5"/>
      <c r="F441" s="5"/>
      <c r="G441" s="5"/>
    </row>
    <row r="442">
      <c r="C442" s="5"/>
      <c r="D442" s="5"/>
      <c r="E442" s="5"/>
      <c r="F442" s="5"/>
      <c r="G442" s="5"/>
    </row>
    <row r="443">
      <c r="C443" s="5"/>
      <c r="D443" s="5"/>
      <c r="E443" s="5"/>
      <c r="F443" s="5"/>
      <c r="G443" s="5"/>
    </row>
    <row r="444">
      <c r="C444" s="5"/>
      <c r="D444" s="5"/>
      <c r="E444" s="5"/>
      <c r="F444" s="5"/>
      <c r="G444" s="5"/>
    </row>
    <row r="445">
      <c r="C445" s="5"/>
      <c r="D445" s="5"/>
      <c r="E445" s="5"/>
      <c r="F445" s="5"/>
      <c r="G445" s="5"/>
    </row>
    <row r="446">
      <c r="C446" s="5"/>
      <c r="D446" s="5"/>
      <c r="E446" s="5"/>
      <c r="F446" s="5"/>
      <c r="G446" s="5"/>
    </row>
    <row r="447">
      <c r="C447" s="5"/>
      <c r="D447" s="5"/>
      <c r="E447" s="5"/>
      <c r="F447" s="5"/>
      <c r="G447" s="5"/>
    </row>
    <row r="448">
      <c r="C448" s="5"/>
      <c r="D448" s="5"/>
      <c r="E448" s="5"/>
      <c r="F448" s="5"/>
      <c r="G448" s="5"/>
    </row>
    <row r="449">
      <c r="C449" s="5"/>
      <c r="D449" s="5"/>
      <c r="E449" s="5"/>
      <c r="F449" s="5"/>
      <c r="G449" s="5"/>
    </row>
    <row r="450">
      <c r="C450" s="5"/>
      <c r="D450" s="5"/>
      <c r="E450" s="5"/>
      <c r="F450" s="5"/>
      <c r="G450" s="5"/>
    </row>
    <row r="451">
      <c r="C451" s="5"/>
      <c r="D451" s="5"/>
      <c r="E451" s="5"/>
      <c r="F451" s="5"/>
      <c r="G451" s="5"/>
    </row>
    <row r="452">
      <c r="C452" s="5"/>
      <c r="D452" s="5"/>
      <c r="E452" s="5"/>
      <c r="F452" s="5"/>
      <c r="G452" s="5"/>
    </row>
    <row r="453">
      <c r="C453" s="5"/>
      <c r="D453" s="5"/>
      <c r="E453" s="5"/>
      <c r="F453" s="5"/>
      <c r="G453" s="5"/>
    </row>
    <row r="454">
      <c r="C454" s="5"/>
      <c r="D454" s="5"/>
      <c r="E454" s="5"/>
      <c r="F454" s="5"/>
      <c r="G454" s="5"/>
    </row>
    <row r="455">
      <c r="C455" s="5"/>
      <c r="D455" s="5"/>
      <c r="E455" s="5"/>
      <c r="F455" s="5"/>
      <c r="G455" s="5"/>
    </row>
    <row r="456">
      <c r="C456" s="5"/>
      <c r="D456" s="5"/>
      <c r="E456" s="5"/>
      <c r="F456" s="5"/>
      <c r="G456" s="5"/>
    </row>
    <row r="457">
      <c r="C457" s="5"/>
      <c r="D457" s="5"/>
      <c r="E457" s="5"/>
      <c r="F457" s="5"/>
      <c r="G457" s="5"/>
    </row>
    <row r="458">
      <c r="C458" s="5"/>
      <c r="D458" s="5"/>
      <c r="E458" s="5"/>
      <c r="F458" s="5"/>
      <c r="G458" s="5"/>
    </row>
    <row r="459">
      <c r="C459" s="5"/>
      <c r="D459" s="5"/>
      <c r="E459" s="5"/>
      <c r="F459" s="5"/>
      <c r="G459" s="5"/>
    </row>
    <row r="460">
      <c r="C460" s="5"/>
      <c r="D460" s="5"/>
      <c r="E460" s="5"/>
      <c r="F460" s="5"/>
      <c r="G460" s="5"/>
    </row>
    <row r="461">
      <c r="C461" s="5"/>
      <c r="D461" s="5"/>
      <c r="E461" s="5"/>
      <c r="F461" s="5"/>
      <c r="G461" s="5"/>
    </row>
    <row r="462">
      <c r="C462" s="5"/>
      <c r="D462" s="5"/>
      <c r="E462" s="5"/>
      <c r="F462" s="5"/>
      <c r="G462" s="5"/>
    </row>
    <row r="463">
      <c r="C463" s="5"/>
      <c r="D463" s="5"/>
      <c r="E463" s="5"/>
      <c r="F463" s="5"/>
      <c r="G463" s="5"/>
    </row>
    <row r="464">
      <c r="C464" s="5"/>
      <c r="D464" s="5"/>
      <c r="E464" s="5"/>
      <c r="F464" s="5"/>
      <c r="G464" s="5"/>
    </row>
    <row r="465">
      <c r="C465" s="5"/>
      <c r="D465" s="5"/>
      <c r="E465" s="5"/>
      <c r="F465" s="5"/>
      <c r="G465" s="5"/>
    </row>
    <row r="466">
      <c r="C466" s="5"/>
      <c r="D466" s="5"/>
      <c r="E466" s="5"/>
      <c r="F466" s="5"/>
      <c r="G466" s="5"/>
    </row>
    <row r="467">
      <c r="C467" s="5"/>
      <c r="D467" s="5"/>
      <c r="E467" s="5"/>
      <c r="F467" s="5"/>
      <c r="G467" s="5"/>
    </row>
    <row r="468">
      <c r="C468" s="5"/>
      <c r="D468" s="5"/>
      <c r="E468" s="5"/>
      <c r="F468" s="5"/>
      <c r="G468" s="5"/>
    </row>
    <row r="469">
      <c r="C469" s="5"/>
      <c r="D469" s="5"/>
      <c r="E469" s="5"/>
      <c r="F469" s="5"/>
      <c r="G469" s="5"/>
    </row>
    <row r="470">
      <c r="C470" s="5"/>
      <c r="D470" s="5"/>
      <c r="E470" s="5"/>
      <c r="F470" s="5"/>
      <c r="G470" s="5"/>
    </row>
    <row r="471">
      <c r="C471" s="5"/>
      <c r="D471" s="5"/>
      <c r="E471" s="5"/>
      <c r="F471" s="5"/>
      <c r="G471" s="5"/>
    </row>
    <row r="472">
      <c r="C472" s="5"/>
      <c r="D472" s="5"/>
      <c r="E472" s="5"/>
      <c r="F472" s="5"/>
      <c r="G472" s="5"/>
    </row>
    <row r="473">
      <c r="C473" s="5"/>
      <c r="D473" s="5"/>
      <c r="E473" s="5"/>
      <c r="F473" s="5"/>
      <c r="G473" s="5"/>
    </row>
    <row r="474">
      <c r="C474" s="5"/>
      <c r="D474" s="5"/>
      <c r="E474" s="5"/>
      <c r="F474" s="5"/>
      <c r="G474" s="5"/>
    </row>
    <row r="475">
      <c r="C475" s="5"/>
      <c r="D475" s="5"/>
      <c r="E475" s="5"/>
      <c r="F475" s="5"/>
      <c r="G475" s="5"/>
    </row>
    <row r="476">
      <c r="C476" s="5"/>
      <c r="D476" s="5"/>
      <c r="E476" s="5"/>
      <c r="F476" s="5"/>
      <c r="G476" s="5"/>
    </row>
    <row r="477">
      <c r="C477" s="5"/>
      <c r="D477" s="5"/>
      <c r="E477" s="5"/>
      <c r="F477" s="5"/>
      <c r="G477" s="5"/>
    </row>
    <row r="478">
      <c r="C478" s="5"/>
      <c r="D478" s="5"/>
      <c r="E478" s="5"/>
      <c r="F478" s="5"/>
      <c r="G478" s="5"/>
    </row>
    <row r="479">
      <c r="C479" s="5"/>
      <c r="D479" s="5"/>
      <c r="E479" s="5"/>
      <c r="F479" s="5"/>
      <c r="G479" s="5"/>
    </row>
    <row r="480">
      <c r="C480" s="5"/>
      <c r="D480" s="5"/>
      <c r="E480" s="5"/>
      <c r="F480" s="5"/>
      <c r="G480" s="5"/>
    </row>
    <row r="481">
      <c r="C481" s="5"/>
      <c r="D481" s="5"/>
      <c r="E481" s="5"/>
      <c r="F481" s="5"/>
      <c r="G481" s="5"/>
    </row>
    <row r="482">
      <c r="C482" s="5"/>
      <c r="D482" s="5"/>
      <c r="E482" s="5"/>
      <c r="F482" s="5"/>
      <c r="G482" s="5"/>
    </row>
    <row r="483">
      <c r="C483" s="5"/>
      <c r="D483" s="5"/>
      <c r="E483" s="5"/>
      <c r="F483" s="5"/>
      <c r="G483" s="5"/>
    </row>
    <row r="484">
      <c r="C484" s="5"/>
      <c r="D484" s="5"/>
      <c r="E484" s="5"/>
      <c r="F484" s="5"/>
      <c r="G484" s="5"/>
    </row>
    <row r="485">
      <c r="C485" s="5"/>
      <c r="D485" s="5"/>
      <c r="E485" s="5"/>
      <c r="F485" s="5"/>
      <c r="G485" s="5"/>
    </row>
    <row r="486">
      <c r="C486" s="5"/>
      <c r="D486" s="5"/>
      <c r="E486" s="5"/>
      <c r="F486" s="5"/>
      <c r="G486" s="5"/>
    </row>
    <row r="487">
      <c r="C487" s="5"/>
      <c r="D487" s="5"/>
      <c r="E487" s="5"/>
      <c r="F487" s="5"/>
      <c r="G487" s="5"/>
    </row>
    <row r="488">
      <c r="C488" s="5"/>
      <c r="D488" s="5"/>
      <c r="E488" s="5"/>
      <c r="F488" s="5"/>
      <c r="G488" s="5"/>
    </row>
    <row r="489">
      <c r="C489" s="5"/>
      <c r="D489" s="5"/>
      <c r="E489" s="5"/>
      <c r="F489" s="5"/>
      <c r="G489" s="5"/>
    </row>
    <row r="490">
      <c r="C490" s="5"/>
      <c r="D490" s="5"/>
      <c r="E490" s="5"/>
      <c r="F490" s="5"/>
      <c r="G490" s="5"/>
    </row>
    <row r="491">
      <c r="C491" s="5"/>
      <c r="D491" s="5"/>
      <c r="E491" s="5"/>
      <c r="F491" s="5"/>
      <c r="G491" s="5"/>
    </row>
    <row r="492">
      <c r="C492" s="5"/>
      <c r="D492" s="5"/>
      <c r="E492" s="5"/>
      <c r="F492" s="5"/>
      <c r="G492" s="5"/>
    </row>
    <row r="493">
      <c r="C493" s="5"/>
      <c r="D493" s="5"/>
      <c r="E493" s="5"/>
      <c r="F493" s="5"/>
      <c r="G493" s="5"/>
    </row>
    <row r="494">
      <c r="C494" s="5"/>
      <c r="D494" s="5"/>
      <c r="E494" s="5"/>
      <c r="F494" s="5"/>
      <c r="G494" s="5"/>
    </row>
    <row r="495">
      <c r="C495" s="5"/>
      <c r="D495" s="5"/>
      <c r="E495" s="5"/>
      <c r="F495" s="5"/>
      <c r="G495" s="5"/>
    </row>
    <row r="496">
      <c r="C496" s="5"/>
      <c r="D496" s="5"/>
      <c r="E496" s="5"/>
      <c r="F496" s="5"/>
      <c r="G496" s="5"/>
    </row>
    <row r="497">
      <c r="C497" s="5"/>
      <c r="D497" s="5"/>
      <c r="E497" s="5"/>
      <c r="F497" s="5"/>
      <c r="G497" s="5"/>
    </row>
    <row r="498">
      <c r="C498" s="5"/>
      <c r="D498" s="5"/>
      <c r="E498" s="5"/>
      <c r="F498" s="5"/>
      <c r="G498" s="5"/>
    </row>
    <row r="499">
      <c r="C499" s="5"/>
      <c r="D499" s="5"/>
      <c r="E499" s="5"/>
      <c r="F499" s="5"/>
      <c r="G499" s="5"/>
    </row>
    <row r="500">
      <c r="C500" s="5"/>
      <c r="D500" s="5"/>
      <c r="E500" s="5"/>
      <c r="F500" s="5"/>
      <c r="G500" s="5"/>
    </row>
    <row r="501">
      <c r="C501" s="5"/>
      <c r="D501" s="5"/>
      <c r="E501" s="5"/>
      <c r="F501" s="5"/>
      <c r="G501" s="5"/>
    </row>
    <row r="502">
      <c r="C502" s="5"/>
      <c r="D502" s="5"/>
      <c r="E502" s="5"/>
      <c r="F502" s="5"/>
      <c r="G502" s="5"/>
    </row>
    <row r="503">
      <c r="C503" s="5"/>
      <c r="D503" s="5"/>
      <c r="E503" s="5"/>
      <c r="F503" s="5"/>
      <c r="G503" s="5"/>
    </row>
    <row r="504">
      <c r="C504" s="5"/>
      <c r="D504" s="5"/>
      <c r="E504" s="5"/>
      <c r="F504" s="5"/>
      <c r="G504" s="5"/>
    </row>
    <row r="505">
      <c r="C505" s="5"/>
      <c r="D505" s="5"/>
      <c r="E505" s="5"/>
      <c r="F505" s="5"/>
      <c r="G505" s="5"/>
    </row>
    <row r="506">
      <c r="C506" s="5"/>
      <c r="D506" s="5"/>
      <c r="E506" s="5"/>
      <c r="F506" s="5"/>
      <c r="G506" s="5"/>
    </row>
    <row r="507">
      <c r="C507" s="5"/>
      <c r="D507" s="5"/>
      <c r="E507" s="5"/>
      <c r="F507" s="5"/>
      <c r="G507" s="5"/>
    </row>
    <row r="508">
      <c r="C508" s="5"/>
      <c r="D508" s="5"/>
      <c r="E508" s="5"/>
      <c r="F508" s="5"/>
      <c r="G508" s="5"/>
    </row>
    <row r="509">
      <c r="C509" s="5"/>
      <c r="D509" s="5"/>
      <c r="E509" s="5"/>
      <c r="F509" s="5"/>
      <c r="G509" s="5"/>
    </row>
    <row r="510">
      <c r="C510" s="5"/>
      <c r="D510" s="5"/>
      <c r="E510" s="5"/>
      <c r="F510" s="5"/>
      <c r="G510" s="5"/>
    </row>
    <row r="511">
      <c r="C511" s="5"/>
      <c r="D511" s="5"/>
      <c r="E511" s="5"/>
      <c r="F511" s="5"/>
      <c r="G511" s="5"/>
    </row>
    <row r="512">
      <c r="C512" s="5"/>
      <c r="D512" s="5"/>
      <c r="E512" s="5"/>
      <c r="F512" s="5"/>
      <c r="G512" s="5"/>
    </row>
    <row r="513">
      <c r="C513" s="5"/>
      <c r="D513" s="5"/>
      <c r="E513" s="5"/>
      <c r="F513" s="5"/>
      <c r="G513" s="5"/>
    </row>
    <row r="514">
      <c r="C514" s="5"/>
      <c r="D514" s="5"/>
      <c r="E514" s="5"/>
      <c r="F514" s="5"/>
      <c r="G514" s="5"/>
    </row>
    <row r="515">
      <c r="C515" s="5"/>
      <c r="D515" s="5"/>
      <c r="E515" s="5"/>
      <c r="F515" s="5"/>
      <c r="G515" s="5"/>
    </row>
    <row r="516">
      <c r="C516" s="5"/>
      <c r="D516" s="5"/>
      <c r="E516" s="5"/>
      <c r="F516" s="5"/>
      <c r="G516" s="5"/>
    </row>
    <row r="517">
      <c r="C517" s="5"/>
      <c r="D517" s="5"/>
      <c r="E517" s="5"/>
      <c r="F517" s="5"/>
      <c r="G517" s="5"/>
    </row>
    <row r="518">
      <c r="C518" s="5"/>
      <c r="D518" s="5"/>
      <c r="E518" s="5"/>
      <c r="F518" s="5"/>
      <c r="G518" s="5"/>
    </row>
    <row r="519">
      <c r="C519" s="5"/>
      <c r="D519" s="5"/>
      <c r="E519" s="5"/>
      <c r="F519" s="5"/>
      <c r="G519" s="5"/>
    </row>
    <row r="520">
      <c r="C520" s="5"/>
      <c r="D520" s="5"/>
      <c r="E520" s="5"/>
      <c r="F520" s="5"/>
      <c r="G520" s="5"/>
    </row>
    <row r="521">
      <c r="C521" s="5"/>
      <c r="D521" s="5"/>
      <c r="E521" s="5"/>
      <c r="F521" s="5"/>
      <c r="G521" s="5"/>
    </row>
    <row r="522">
      <c r="C522" s="5"/>
      <c r="D522" s="5"/>
      <c r="E522" s="5"/>
      <c r="F522" s="5"/>
      <c r="G522" s="5"/>
    </row>
    <row r="523">
      <c r="C523" s="5"/>
      <c r="D523" s="5"/>
      <c r="E523" s="5"/>
      <c r="F523" s="5"/>
      <c r="G523" s="5"/>
    </row>
    <row r="524">
      <c r="C524" s="5"/>
      <c r="D524" s="5"/>
      <c r="E524" s="5"/>
      <c r="F524" s="5"/>
      <c r="G524" s="5"/>
    </row>
    <row r="525">
      <c r="C525" s="5"/>
      <c r="D525" s="5"/>
      <c r="E525" s="5"/>
      <c r="F525" s="5"/>
      <c r="G525" s="5"/>
    </row>
    <row r="526">
      <c r="C526" s="5"/>
      <c r="D526" s="5"/>
      <c r="E526" s="5"/>
      <c r="F526" s="5"/>
      <c r="G526" s="5"/>
    </row>
    <row r="527">
      <c r="C527" s="5"/>
      <c r="D527" s="5"/>
      <c r="E527" s="5"/>
      <c r="F527" s="5"/>
      <c r="G527" s="5"/>
    </row>
    <row r="528">
      <c r="C528" s="5"/>
      <c r="D528" s="5"/>
      <c r="E528" s="5"/>
      <c r="F528" s="5"/>
      <c r="G528" s="5"/>
    </row>
    <row r="529">
      <c r="C529" s="5"/>
      <c r="D529" s="5"/>
      <c r="E529" s="5"/>
      <c r="F529" s="5"/>
      <c r="G529" s="5"/>
    </row>
    <row r="530">
      <c r="C530" s="5"/>
      <c r="D530" s="5"/>
      <c r="E530" s="5"/>
      <c r="F530" s="5"/>
      <c r="G530" s="5"/>
    </row>
    <row r="531">
      <c r="C531" s="5"/>
      <c r="D531" s="5"/>
      <c r="E531" s="5"/>
      <c r="F531" s="5"/>
      <c r="G531" s="5"/>
    </row>
    <row r="532">
      <c r="C532" s="5"/>
      <c r="D532" s="5"/>
      <c r="E532" s="5"/>
      <c r="F532" s="5"/>
      <c r="G532" s="5"/>
    </row>
    <row r="533">
      <c r="C533" s="5"/>
      <c r="D533" s="5"/>
      <c r="E533" s="5"/>
      <c r="F533" s="5"/>
      <c r="G533" s="5"/>
    </row>
    <row r="534">
      <c r="C534" s="5"/>
      <c r="D534" s="5"/>
      <c r="E534" s="5"/>
      <c r="F534" s="5"/>
      <c r="G534" s="5"/>
    </row>
    <row r="535">
      <c r="C535" s="5"/>
      <c r="D535" s="5"/>
      <c r="E535" s="5"/>
      <c r="F535" s="5"/>
      <c r="G535" s="5"/>
    </row>
    <row r="536">
      <c r="C536" s="5"/>
      <c r="D536" s="5"/>
      <c r="E536" s="5"/>
      <c r="F536" s="5"/>
      <c r="G536" s="5"/>
    </row>
    <row r="537">
      <c r="C537" s="5"/>
      <c r="D537" s="5"/>
      <c r="E537" s="5"/>
      <c r="F537" s="5"/>
      <c r="G537" s="5"/>
    </row>
    <row r="538">
      <c r="C538" s="5"/>
      <c r="D538" s="5"/>
      <c r="E538" s="5"/>
      <c r="F538" s="5"/>
      <c r="G538" s="5"/>
    </row>
    <row r="539">
      <c r="C539" s="5"/>
      <c r="D539" s="5"/>
      <c r="E539" s="5"/>
      <c r="F539" s="5"/>
      <c r="G539" s="5"/>
    </row>
    <row r="540">
      <c r="C540" s="5"/>
      <c r="D540" s="5"/>
      <c r="E540" s="5"/>
      <c r="F540" s="5"/>
      <c r="G540" s="5"/>
    </row>
    <row r="541">
      <c r="C541" s="5"/>
      <c r="D541" s="5"/>
      <c r="E541" s="5"/>
      <c r="F541" s="5"/>
      <c r="G541" s="5"/>
    </row>
    <row r="542">
      <c r="C542" s="5"/>
      <c r="D542" s="5"/>
      <c r="E542" s="5"/>
      <c r="F542" s="5"/>
      <c r="G542" s="5"/>
    </row>
    <row r="543">
      <c r="C543" s="5"/>
      <c r="D543" s="5"/>
      <c r="E543" s="5"/>
      <c r="F543" s="5"/>
      <c r="G543" s="5"/>
    </row>
    <row r="544">
      <c r="C544" s="5"/>
      <c r="D544" s="5"/>
      <c r="E544" s="5"/>
      <c r="F544" s="5"/>
      <c r="G544" s="5"/>
    </row>
    <row r="545">
      <c r="C545" s="5"/>
      <c r="D545" s="5"/>
      <c r="E545" s="5"/>
      <c r="F545" s="5"/>
      <c r="G545" s="5"/>
    </row>
    <row r="546">
      <c r="C546" s="5"/>
      <c r="D546" s="5"/>
      <c r="E546" s="5"/>
      <c r="F546" s="5"/>
      <c r="G546" s="5"/>
    </row>
    <row r="547">
      <c r="C547" s="5"/>
      <c r="D547" s="5"/>
      <c r="E547" s="5"/>
      <c r="F547" s="5"/>
      <c r="G547" s="5"/>
    </row>
    <row r="548">
      <c r="C548" s="5"/>
      <c r="D548" s="5"/>
      <c r="E548" s="5"/>
      <c r="F548" s="5"/>
      <c r="G548" s="5"/>
    </row>
    <row r="549">
      <c r="C549" s="5"/>
      <c r="D549" s="5"/>
      <c r="E549" s="5"/>
      <c r="F549" s="5"/>
      <c r="G549" s="5"/>
    </row>
    <row r="550">
      <c r="C550" s="5"/>
      <c r="D550" s="5"/>
      <c r="E550" s="5"/>
      <c r="F550" s="5"/>
      <c r="G550" s="5"/>
    </row>
    <row r="551">
      <c r="C551" s="5"/>
      <c r="D551" s="5"/>
      <c r="E551" s="5"/>
      <c r="F551" s="5"/>
      <c r="G551" s="5"/>
    </row>
    <row r="552">
      <c r="C552" s="5"/>
      <c r="D552" s="5"/>
      <c r="E552" s="5"/>
      <c r="F552" s="5"/>
      <c r="G552" s="5"/>
    </row>
    <row r="553">
      <c r="C553" s="5"/>
      <c r="D553" s="5"/>
      <c r="E553" s="5"/>
      <c r="F553" s="5"/>
      <c r="G553" s="5"/>
    </row>
    <row r="554">
      <c r="C554" s="5"/>
      <c r="D554" s="5"/>
      <c r="E554" s="5"/>
      <c r="F554" s="5"/>
      <c r="G554" s="5"/>
    </row>
    <row r="555">
      <c r="C555" s="5"/>
      <c r="D555" s="5"/>
      <c r="E555" s="5"/>
      <c r="F555" s="5"/>
      <c r="G555" s="5"/>
    </row>
    <row r="556">
      <c r="C556" s="5"/>
      <c r="D556" s="5"/>
      <c r="E556" s="5"/>
      <c r="F556" s="5"/>
      <c r="G556" s="5"/>
    </row>
    <row r="557">
      <c r="C557" s="5"/>
      <c r="D557" s="5"/>
      <c r="E557" s="5"/>
      <c r="F557" s="5"/>
      <c r="G557" s="5"/>
    </row>
    <row r="558">
      <c r="C558" s="5"/>
      <c r="D558" s="5"/>
      <c r="E558" s="5"/>
      <c r="F558" s="5"/>
      <c r="G558" s="5"/>
    </row>
    <row r="559">
      <c r="C559" s="5"/>
      <c r="D559" s="5"/>
      <c r="E559" s="5"/>
      <c r="F559" s="5"/>
      <c r="G559" s="5"/>
    </row>
    <row r="560">
      <c r="C560" s="5"/>
      <c r="D560" s="5"/>
      <c r="E560" s="5"/>
      <c r="F560" s="5"/>
      <c r="G560" s="5"/>
    </row>
    <row r="561">
      <c r="C561" s="5"/>
      <c r="D561" s="5"/>
      <c r="E561" s="5"/>
      <c r="F561" s="5"/>
      <c r="G561" s="5"/>
    </row>
    <row r="562">
      <c r="C562" s="5"/>
      <c r="D562" s="5"/>
      <c r="E562" s="5"/>
      <c r="F562" s="5"/>
      <c r="G562" s="5"/>
    </row>
    <row r="563">
      <c r="C563" s="5"/>
      <c r="D563" s="5"/>
      <c r="E563" s="5"/>
      <c r="F563" s="5"/>
      <c r="G563" s="5"/>
    </row>
    <row r="564">
      <c r="C564" s="5"/>
      <c r="D564" s="5"/>
      <c r="E564" s="5"/>
      <c r="F564" s="5"/>
      <c r="G564" s="5"/>
    </row>
    <row r="565">
      <c r="C565" s="5"/>
      <c r="D565" s="5"/>
      <c r="E565" s="5"/>
      <c r="F565" s="5"/>
      <c r="G565" s="5"/>
    </row>
    <row r="566">
      <c r="C566" s="5"/>
      <c r="D566" s="5"/>
      <c r="E566" s="5"/>
      <c r="F566" s="5"/>
      <c r="G566" s="5"/>
    </row>
    <row r="567">
      <c r="C567" s="5"/>
      <c r="D567" s="5"/>
      <c r="E567" s="5"/>
      <c r="F567" s="5"/>
      <c r="G567" s="5"/>
    </row>
    <row r="568">
      <c r="C568" s="5"/>
      <c r="D568" s="5"/>
      <c r="E568" s="5"/>
      <c r="F568" s="5"/>
      <c r="G568" s="5"/>
    </row>
    <row r="569">
      <c r="C569" s="5"/>
      <c r="D569" s="5"/>
      <c r="E569" s="5"/>
      <c r="F569" s="5"/>
      <c r="G569" s="5"/>
    </row>
    <row r="570">
      <c r="C570" s="5"/>
      <c r="D570" s="5"/>
      <c r="E570" s="5"/>
      <c r="F570" s="5"/>
      <c r="G570" s="5"/>
    </row>
    <row r="571">
      <c r="C571" s="5"/>
      <c r="D571" s="5"/>
      <c r="E571" s="5"/>
      <c r="F571" s="5"/>
      <c r="G571" s="5"/>
    </row>
    <row r="572">
      <c r="C572" s="5"/>
      <c r="D572" s="5"/>
      <c r="E572" s="5"/>
      <c r="F572" s="5"/>
      <c r="G572" s="5"/>
    </row>
    <row r="573">
      <c r="C573" s="5"/>
      <c r="D573" s="5"/>
      <c r="E573" s="5"/>
      <c r="F573" s="5"/>
      <c r="G573" s="5"/>
    </row>
    <row r="574">
      <c r="C574" s="5"/>
      <c r="D574" s="5"/>
      <c r="E574" s="5"/>
      <c r="F574" s="5"/>
      <c r="G574" s="5"/>
    </row>
    <row r="575">
      <c r="C575" s="5"/>
      <c r="D575" s="5"/>
      <c r="E575" s="5"/>
      <c r="F575" s="5"/>
      <c r="G575" s="5"/>
    </row>
    <row r="576">
      <c r="C576" s="5"/>
      <c r="D576" s="5"/>
      <c r="E576" s="5"/>
      <c r="F576" s="5"/>
      <c r="G576" s="5"/>
    </row>
    <row r="577">
      <c r="C577" s="5"/>
      <c r="D577" s="5"/>
      <c r="E577" s="5"/>
      <c r="F577" s="5"/>
      <c r="G577" s="5"/>
    </row>
    <row r="578">
      <c r="C578" s="5"/>
      <c r="D578" s="5"/>
      <c r="E578" s="5"/>
      <c r="F578" s="5"/>
      <c r="G578" s="5"/>
    </row>
    <row r="579">
      <c r="C579" s="5"/>
      <c r="D579" s="5"/>
      <c r="E579" s="5"/>
      <c r="F579" s="5"/>
      <c r="G579" s="5"/>
    </row>
    <row r="580">
      <c r="C580" s="5"/>
      <c r="D580" s="5"/>
      <c r="E580" s="5"/>
      <c r="F580" s="5"/>
      <c r="G580" s="5"/>
    </row>
    <row r="581">
      <c r="C581" s="5"/>
      <c r="D581" s="5"/>
      <c r="E581" s="5"/>
      <c r="F581" s="5"/>
      <c r="G581" s="5"/>
    </row>
    <row r="582">
      <c r="C582" s="5"/>
      <c r="D582" s="5"/>
      <c r="E582" s="5"/>
      <c r="F582" s="5"/>
      <c r="G582" s="5"/>
    </row>
    <row r="583">
      <c r="C583" s="5"/>
      <c r="D583" s="5"/>
      <c r="E583" s="5"/>
      <c r="F583" s="5"/>
      <c r="G583" s="5"/>
    </row>
    <row r="584">
      <c r="C584" s="5"/>
      <c r="D584" s="5"/>
      <c r="E584" s="5"/>
      <c r="F584" s="5"/>
      <c r="G584" s="5"/>
    </row>
    <row r="585">
      <c r="C585" s="5"/>
      <c r="D585" s="5"/>
      <c r="E585" s="5"/>
      <c r="F585" s="5"/>
      <c r="G585" s="5"/>
    </row>
    <row r="586">
      <c r="C586" s="5"/>
      <c r="D586" s="5"/>
      <c r="E586" s="5"/>
      <c r="F586" s="5"/>
      <c r="G586" s="5"/>
    </row>
    <row r="587">
      <c r="C587" s="5"/>
      <c r="D587" s="5"/>
      <c r="E587" s="5"/>
      <c r="F587" s="5"/>
      <c r="G587" s="5"/>
    </row>
    <row r="588">
      <c r="C588" s="5"/>
      <c r="D588" s="5"/>
      <c r="E588" s="5"/>
      <c r="F588" s="5"/>
      <c r="G588" s="5"/>
    </row>
    <row r="589">
      <c r="C589" s="5"/>
      <c r="D589" s="5"/>
      <c r="E589" s="5"/>
      <c r="F589" s="5"/>
      <c r="G589" s="5"/>
    </row>
    <row r="590">
      <c r="C590" s="5"/>
      <c r="D590" s="5"/>
      <c r="E590" s="5"/>
      <c r="F590" s="5"/>
      <c r="G590" s="5"/>
    </row>
    <row r="591">
      <c r="C591" s="5"/>
      <c r="D591" s="5"/>
      <c r="E591" s="5"/>
      <c r="F591" s="5"/>
      <c r="G591" s="5"/>
    </row>
    <row r="592">
      <c r="C592" s="5"/>
      <c r="D592" s="5"/>
      <c r="E592" s="5"/>
      <c r="F592" s="5"/>
      <c r="G592" s="5"/>
    </row>
    <row r="593">
      <c r="C593" s="5"/>
      <c r="D593" s="5"/>
      <c r="E593" s="5"/>
      <c r="F593" s="5"/>
      <c r="G593" s="5"/>
    </row>
    <row r="594">
      <c r="C594" s="5"/>
      <c r="D594" s="5"/>
      <c r="E594" s="5"/>
      <c r="F594" s="5"/>
      <c r="G594" s="5"/>
    </row>
    <row r="595">
      <c r="C595" s="5"/>
      <c r="D595" s="5"/>
      <c r="E595" s="5"/>
      <c r="F595" s="5"/>
      <c r="G595" s="5"/>
    </row>
    <row r="596">
      <c r="C596" s="5"/>
      <c r="D596" s="5"/>
      <c r="E596" s="5"/>
      <c r="F596" s="5"/>
      <c r="G596" s="5"/>
    </row>
    <row r="597">
      <c r="C597" s="5"/>
      <c r="D597" s="5"/>
      <c r="E597" s="5"/>
      <c r="F597" s="5"/>
      <c r="G597" s="5"/>
    </row>
    <row r="598">
      <c r="C598" s="5"/>
      <c r="D598" s="5"/>
      <c r="E598" s="5"/>
      <c r="F598" s="5"/>
      <c r="G598" s="5"/>
    </row>
    <row r="599">
      <c r="C599" s="5"/>
      <c r="D599" s="5"/>
      <c r="E599" s="5"/>
      <c r="F599" s="5"/>
      <c r="G599" s="5"/>
    </row>
    <row r="600">
      <c r="C600" s="5"/>
      <c r="D600" s="5"/>
      <c r="E600" s="5"/>
      <c r="F600" s="5"/>
      <c r="G600" s="5"/>
    </row>
    <row r="601">
      <c r="C601" s="5"/>
      <c r="D601" s="5"/>
      <c r="E601" s="5"/>
      <c r="F601" s="5"/>
      <c r="G601" s="5"/>
    </row>
    <row r="602">
      <c r="C602" s="5"/>
      <c r="D602" s="5"/>
      <c r="E602" s="5"/>
      <c r="F602" s="5"/>
      <c r="G602" s="5"/>
    </row>
    <row r="603">
      <c r="C603" s="5"/>
      <c r="D603" s="5"/>
      <c r="E603" s="5"/>
      <c r="F603" s="5"/>
      <c r="G603" s="5"/>
    </row>
    <row r="604">
      <c r="C604" s="5"/>
      <c r="D604" s="5"/>
      <c r="E604" s="5"/>
      <c r="F604" s="5"/>
      <c r="G604" s="5"/>
    </row>
    <row r="605">
      <c r="C605" s="5"/>
      <c r="D605" s="5"/>
      <c r="E605" s="5"/>
      <c r="F605" s="5"/>
      <c r="G605" s="5"/>
    </row>
    <row r="606">
      <c r="C606" s="5"/>
      <c r="D606" s="5"/>
      <c r="E606" s="5"/>
      <c r="F606" s="5"/>
      <c r="G606" s="5"/>
    </row>
    <row r="607">
      <c r="C607" s="5"/>
      <c r="D607" s="5"/>
      <c r="E607" s="5"/>
      <c r="F607" s="5"/>
      <c r="G607" s="5"/>
    </row>
    <row r="608">
      <c r="C608" s="5"/>
      <c r="D608" s="5"/>
      <c r="E608" s="5"/>
      <c r="F608" s="5"/>
      <c r="G608" s="5"/>
    </row>
    <row r="609">
      <c r="C609" s="5"/>
      <c r="D609" s="5"/>
      <c r="E609" s="5"/>
      <c r="F609" s="5"/>
      <c r="G609" s="5"/>
    </row>
    <row r="610">
      <c r="C610" s="5"/>
      <c r="D610" s="5"/>
      <c r="E610" s="5"/>
      <c r="F610" s="5"/>
      <c r="G610" s="5"/>
    </row>
    <row r="611">
      <c r="C611" s="5"/>
      <c r="D611" s="5"/>
      <c r="E611" s="5"/>
      <c r="F611" s="5"/>
      <c r="G611" s="5"/>
    </row>
    <row r="612">
      <c r="C612" s="5"/>
      <c r="D612" s="5"/>
      <c r="E612" s="5"/>
      <c r="F612" s="5"/>
      <c r="G612" s="5"/>
    </row>
    <row r="613">
      <c r="C613" s="5"/>
      <c r="D613" s="5"/>
      <c r="E613" s="5"/>
      <c r="F613" s="5"/>
      <c r="G613" s="5"/>
    </row>
    <row r="614">
      <c r="C614" s="5"/>
      <c r="D614" s="5"/>
      <c r="E614" s="5"/>
      <c r="F614" s="5"/>
      <c r="G614" s="5"/>
    </row>
    <row r="615">
      <c r="C615" s="5"/>
      <c r="D615" s="5"/>
      <c r="E615" s="5"/>
      <c r="F615" s="5"/>
      <c r="G615" s="5"/>
    </row>
    <row r="616">
      <c r="C616" s="5"/>
      <c r="D616" s="5"/>
      <c r="E616" s="5"/>
      <c r="F616" s="5"/>
      <c r="G616" s="5"/>
    </row>
    <row r="617">
      <c r="C617" s="5"/>
      <c r="D617" s="5"/>
      <c r="E617" s="5"/>
      <c r="F617" s="5"/>
      <c r="G617" s="5"/>
    </row>
    <row r="618">
      <c r="C618" s="5"/>
      <c r="D618" s="5"/>
      <c r="E618" s="5"/>
      <c r="F618" s="5"/>
      <c r="G618" s="5"/>
    </row>
    <row r="619">
      <c r="C619" s="5"/>
      <c r="D619" s="5"/>
      <c r="E619" s="5"/>
      <c r="F619" s="5"/>
      <c r="G619" s="5"/>
    </row>
    <row r="620">
      <c r="C620" s="5"/>
      <c r="D620" s="5"/>
      <c r="E620" s="5"/>
      <c r="F620" s="5"/>
      <c r="G620" s="5"/>
    </row>
    <row r="621">
      <c r="C621" s="5"/>
      <c r="D621" s="5"/>
      <c r="E621" s="5"/>
      <c r="F621" s="5"/>
      <c r="G621" s="5"/>
    </row>
    <row r="622">
      <c r="C622" s="5"/>
      <c r="D622" s="5"/>
      <c r="E622" s="5"/>
      <c r="F622" s="5"/>
      <c r="G622" s="5"/>
    </row>
    <row r="623">
      <c r="C623" s="5"/>
      <c r="D623" s="5"/>
      <c r="E623" s="5"/>
      <c r="F623" s="5"/>
      <c r="G623" s="5"/>
    </row>
    <row r="624">
      <c r="C624" s="5"/>
      <c r="D624" s="5"/>
      <c r="E624" s="5"/>
      <c r="F624" s="5"/>
      <c r="G624" s="5"/>
    </row>
    <row r="625">
      <c r="C625" s="5"/>
      <c r="D625" s="5"/>
      <c r="E625" s="5"/>
      <c r="F625" s="5"/>
      <c r="G625" s="5"/>
    </row>
    <row r="626">
      <c r="C626" s="5"/>
      <c r="D626" s="5"/>
      <c r="E626" s="5"/>
      <c r="F626" s="5"/>
      <c r="G626" s="5"/>
    </row>
    <row r="627">
      <c r="C627" s="5"/>
      <c r="D627" s="5"/>
      <c r="E627" s="5"/>
      <c r="F627" s="5"/>
      <c r="G627" s="5"/>
    </row>
    <row r="628">
      <c r="C628" s="5"/>
      <c r="D628" s="5"/>
      <c r="E628" s="5"/>
      <c r="F628" s="5"/>
      <c r="G628" s="5"/>
    </row>
    <row r="629">
      <c r="C629" s="5"/>
      <c r="D629" s="5"/>
      <c r="E629" s="5"/>
      <c r="F629" s="5"/>
      <c r="G629" s="5"/>
    </row>
    <row r="630">
      <c r="C630" s="5"/>
      <c r="D630" s="5"/>
      <c r="E630" s="5"/>
      <c r="F630" s="5"/>
      <c r="G630" s="5"/>
    </row>
    <row r="631">
      <c r="C631" s="5"/>
      <c r="D631" s="5"/>
      <c r="E631" s="5"/>
      <c r="F631" s="5"/>
      <c r="G631" s="5"/>
    </row>
    <row r="632">
      <c r="C632" s="5"/>
      <c r="D632" s="5"/>
      <c r="E632" s="5"/>
      <c r="F632" s="5"/>
      <c r="G632" s="5"/>
    </row>
    <row r="633">
      <c r="C633" s="5"/>
      <c r="D633" s="5"/>
      <c r="E633" s="5"/>
      <c r="F633" s="5"/>
      <c r="G633" s="5"/>
    </row>
    <row r="634">
      <c r="C634" s="5"/>
      <c r="D634" s="5"/>
      <c r="E634" s="5"/>
      <c r="F634" s="5"/>
      <c r="G634" s="5"/>
    </row>
    <row r="635">
      <c r="C635" s="5"/>
      <c r="D635" s="5"/>
      <c r="E635" s="5"/>
      <c r="F635" s="5"/>
      <c r="G635" s="5"/>
    </row>
    <row r="636">
      <c r="C636" s="5"/>
      <c r="D636" s="5"/>
      <c r="E636" s="5"/>
      <c r="F636" s="5"/>
      <c r="G636" s="5"/>
    </row>
    <row r="637">
      <c r="C637" s="5"/>
      <c r="D637" s="5"/>
      <c r="E637" s="5"/>
      <c r="F637" s="5"/>
      <c r="G637" s="5"/>
    </row>
    <row r="638">
      <c r="C638" s="5"/>
      <c r="D638" s="5"/>
      <c r="E638" s="5"/>
      <c r="F638" s="5"/>
      <c r="G638" s="5"/>
    </row>
    <row r="639">
      <c r="C639" s="5"/>
      <c r="D639" s="5"/>
      <c r="E639" s="5"/>
      <c r="F639" s="5"/>
      <c r="G639" s="5"/>
    </row>
    <row r="640">
      <c r="C640" s="5"/>
      <c r="D640" s="5"/>
      <c r="E640" s="5"/>
      <c r="F640" s="5"/>
      <c r="G640" s="5"/>
    </row>
    <row r="641">
      <c r="C641" s="5"/>
      <c r="D641" s="5"/>
      <c r="E641" s="5"/>
      <c r="F641" s="5"/>
      <c r="G641" s="5"/>
    </row>
    <row r="642">
      <c r="C642" s="5"/>
      <c r="D642" s="5"/>
      <c r="E642" s="5"/>
      <c r="F642" s="5"/>
      <c r="G642" s="5"/>
    </row>
    <row r="643">
      <c r="C643" s="5"/>
      <c r="D643" s="5"/>
      <c r="E643" s="5"/>
      <c r="F643" s="5"/>
      <c r="G643" s="5"/>
    </row>
    <row r="644">
      <c r="C644" s="5"/>
      <c r="D644" s="5"/>
      <c r="E644" s="5"/>
      <c r="F644" s="5"/>
      <c r="G644" s="5"/>
    </row>
    <row r="645">
      <c r="C645" s="5"/>
      <c r="D645" s="5"/>
      <c r="E645" s="5"/>
      <c r="F645" s="5"/>
      <c r="G645" s="5"/>
    </row>
    <row r="646">
      <c r="C646" s="5"/>
      <c r="D646" s="5"/>
      <c r="E646" s="5"/>
      <c r="F646" s="5"/>
      <c r="G646" s="5"/>
    </row>
    <row r="647">
      <c r="C647" s="5"/>
      <c r="D647" s="5"/>
      <c r="E647" s="5"/>
      <c r="F647" s="5"/>
      <c r="G647" s="5"/>
    </row>
    <row r="648">
      <c r="C648" s="5"/>
      <c r="D648" s="5"/>
      <c r="E648" s="5"/>
      <c r="F648" s="5"/>
      <c r="G648" s="5"/>
    </row>
    <row r="649">
      <c r="C649" s="5"/>
      <c r="D649" s="5"/>
      <c r="E649" s="5"/>
      <c r="F649" s="5"/>
      <c r="G649" s="5"/>
    </row>
    <row r="650">
      <c r="C650" s="5"/>
      <c r="D650" s="5"/>
      <c r="E650" s="5"/>
      <c r="F650" s="5"/>
      <c r="G650" s="5"/>
    </row>
    <row r="651">
      <c r="C651" s="5"/>
      <c r="D651" s="5"/>
      <c r="E651" s="5"/>
      <c r="F651" s="5"/>
      <c r="G651" s="5"/>
    </row>
    <row r="652">
      <c r="C652" s="5"/>
      <c r="D652" s="5"/>
      <c r="E652" s="5"/>
      <c r="F652" s="5"/>
      <c r="G652" s="5"/>
    </row>
    <row r="653">
      <c r="C653" s="5"/>
      <c r="D653" s="5"/>
      <c r="E653" s="5"/>
      <c r="F653" s="5"/>
      <c r="G653" s="5"/>
    </row>
    <row r="654">
      <c r="C654" s="5"/>
      <c r="D654" s="5"/>
      <c r="E654" s="5"/>
      <c r="F654" s="5"/>
      <c r="G654" s="5"/>
    </row>
    <row r="655">
      <c r="C655" s="5"/>
      <c r="D655" s="5"/>
      <c r="E655" s="5"/>
      <c r="F655" s="5"/>
      <c r="G655" s="5"/>
    </row>
    <row r="656">
      <c r="C656" s="5"/>
      <c r="D656" s="5"/>
      <c r="E656" s="5"/>
      <c r="F656" s="5"/>
      <c r="G656" s="5"/>
    </row>
    <row r="657">
      <c r="C657" s="5"/>
      <c r="D657" s="5"/>
      <c r="E657" s="5"/>
      <c r="F657" s="5"/>
      <c r="G657" s="5"/>
    </row>
    <row r="658">
      <c r="C658" s="5"/>
      <c r="D658" s="5"/>
      <c r="E658" s="5"/>
      <c r="F658" s="5"/>
      <c r="G658" s="5"/>
    </row>
    <row r="659">
      <c r="C659" s="5"/>
      <c r="D659" s="5"/>
      <c r="E659" s="5"/>
      <c r="F659" s="5"/>
      <c r="G659" s="5"/>
    </row>
    <row r="660">
      <c r="C660" s="5"/>
      <c r="D660" s="5"/>
      <c r="E660" s="5"/>
      <c r="F660" s="5"/>
      <c r="G660" s="5"/>
    </row>
    <row r="661">
      <c r="C661" s="5"/>
      <c r="D661" s="5"/>
      <c r="E661" s="5"/>
      <c r="F661" s="5"/>
      <c r="G661" s="5"/>
    </row>
    <row r="662">
      <c r="C662" s="5"/>
      <c r="D662" s="5"/>
      <c r="E662" s="5"/>
      <c r="F662" s="5"/>
      <c r="G662" s="5"/>
    </row>
    <row r="663">
      <c r="C663" s="5"/>
      <c r="D663" s="5"/>
      <c r="E663" s="5"/>
      <c r="F663" s="5"/>
      <c r="G663" s="5"/>
    </row>
    <row r="664">
      <c r="C664" s="5"/>
      <c r="D664" s="5"/>
      <c r="E664" s="5"/>
      <c r="F664" s="5"/>
      <c r="G664" s="5"/>
    </row>
    <row r="665">
      <c r="C665" s="5"/>
      <c r="D665" s="5"/>
      <c r="E665" s="5"/>
      <c r="F665" s="5"/>
      <c r="G665" s="5"/>
    </row>
    <row r="666">
      <c r="C666" s="5"/>
      <c r="D666" s="5"/>
      <c r="E666" s="5"/>
      <c r="F666" s="5"/>
      <c r="G666" s="5"/>
    </row>
    <row r="667">
      <c r="C667" s="5"/>
      <c r="D667" s="5"/>
      <c r="E667" s="5"/>
      <c r="F667" s="5"/>
      <c r="G667" s="5"/>
    </row>
    <row r="668">
      <c r="C668" s="5"/>
      <c r="D668" s="5"/>
      <c r="E668" s="5"/>
      <c r="F668" s="5"/>
      <c r="G668" s="5"/>
    </row>
    <row r="669">
      <c r="C669" s="5"/>
      <c r="D669" s="5"/>
      <c r="E669" s="5"/>
      <c r="F669" s="5"/>
      <c r="G669" s="5"/>
    </row>
    <row r="670">
      <c r="C670" s="5"/>
      <c r="D670" s="5"/>
      <c r="E670" s="5"/>
      <c r="F670" s="5"/>
      <c r="G670" s="5"/>
    </row>
    <row r="671">
      <c r="C671" s="5"/>
      <c r="D671" s="5"/>
      <c r="E671" s="5"/>
      <c r="F671" s="5"/>
      <c r="G671" s="5"/>
    </row>
    <row r="672">
      <c r="C672" s="5"/>
      <c r="D672" s="5"/>
      <c r="E672" s="5"/>
      <c r="F672" s="5"/>
      <c r="G672" s="5"/>
    </row>
    <row r="673">
      <c r="C673" s="5"/>
      <c r="D673" s="5"/>
      <c r="E673" s="5"/>
      <c r="F673" s="5"/>
      <c r="G673" s="5"/>
    </row>
    <row r="674">
      <c r="C674" s="5"/>
      <c r="D674" s="5"/>
      <c r="E674" s="5"/>
      <c r="F674" s="5"/>
      <c r="G674" s="5"/>
    </row>
    <row r="675">
      <c r="C675" s="5"/>
      <c r="D675" s="5"/>
      <c r="E675" s="5"/>
      <c r="F675" s="5"/>
      <c r="G675" s="5"/>
    </row>
    <row r="676">
      <c r="C676" s="5"/>
      <c r="D676" s="5"/>
      <c r="E676" s="5"/>
      <c r="F676" s="5"/>
      <c r="G676" s="5"/>
    </row>
    <row r="677">
      <c r="C677" s="5"/>
      <c r="D677" s="5"/>
      <c r="E677" s="5"/>
      <c r="F677" s="5"/>
      <c r="G677" s="5"/>
    </row>
    <row r="678">
      <c r="C678" s="5"/>
      <c r="D678" s="5"/>
      <c r="E678" s="5"/>
      <c r="F678" s="5"/>
      <c r="G678" s="5"/>
    </row>
    <row r="679">
      <c r="C679" s="5"/>
      <c r="D679" s="5"/>
      <c r="E679" s="5"/>
      <c r="F679" s="5"/>
      <c r="G679" s="5"/>
    </row>
    <row r="680">
      <c r="C680" s="5"/>
      <c r="D680" s="5"/>
      <c r="E680" s="5"/>
      <c r="F680" s="5"/>
      <c r="G680" s="5"/>
    </row>
    <row r="681">
      <c r="C681" s="5"/>
      <c r="D681" s="5"/>
      <c r="E681" s="5"/>
      <c r="F681" s="5"/>
      <c r="G681" s="5"/>
    </row>
    <row r="682">
      <c r="C682" s="5"/>
      <c r="D682" s="5"/>
      <c r="E682" s="5"/>
      <c r="F682" s="5"/>
      <c r="G682" s="5"/>
    </row>
    <row r="683">
      <c r="C683" s="5"/>
      <c r="D683" s="5"/>
      <c r="E683" s="5"/>
      <c r="F683" s="5"/>
      <c r="G683" s="5"/>
    </row>
    <row r="684">
      <c r="C684" s="5"/>
      <c r="D684" s="5"/>
      <c r="E684" s="5"/>
      <c r="F684" s="5"/>
      <c r="G684" s="5"/>
    </row>
    <row r="685">
      <c r="C685" s="5"/>
      <c r="D685" s="5"/>
      <c r="E685" s="5"/>
      <c r="F685" s="5"/>
      <c r="G685" s="5"/>
    </row>
    <row r="686">
      <c r="C686" s="5"/>
      <c r="D686" s="5"/>
      <c r="E686" s="5"/>
      <c r="F686" s="5"/>
      <c r="G686" s="5"/>
    </row>
    <row r="687">
      <c r="C687" s="5"/>
      <c r="D687" s="5"/>
      <c r="E687" s="5"/>
      <c r="F687" s="5"/>
      <c r="G687" s="5"/>
    </row>
    <row r="688">
      <c r="C688" s="5"/>
      <c r="D688" s="5"/>
      <c r="E688" s="5"/>
      <c r="F688" s="5"/>
      <c r="G688" s="5"/>
    </row>
    <row r="689">
      <c r="C689" s="5"/>
      <c r="D689" s="5"/>
      <c r="E689" s="5"/>
      <c r="F689" s="5"/>
      <c r="G689" s="5"/>
    </row>
    <row r="690">
      <c r="C690" s="5"/>
      <c r="D690" s="5"/>
      <c r="E690" s="5"/>
      <c r="F690" s="5"/>
      <c r="G690" s="5"/>
    </row>
    <row r="691">
      <c r="C691" s="5"/>
      <c r="D691" s="5"/>
      <c r="E691" s="5"/>
      <c r="F691" s="5"/>
      <c r="G691" s="5"/>
    </row>
    <row r="692">
      <c r="C692" s="5"/>
      <c r="D692" s="5"/>
      <c r="E692" s="5"/>
      <c r="F692" s="5"/>
      <c r="G692" s="5"/>
    </row>
    <row r="693">
      <c r="C693" s="5"/>
      <c r="D693" s="5"/>
      <c r="E693" s="5"/>
      <c r="F693" s="5"/>
      <c r="G693" s="5"/>
    </row>
    <row r="694">
      <c r="C694" s="5"/>
      <c r="D694" s="5"/>
      <c r="E694" s="5"/>
      <c r="F694" s="5"/>
      <c r="G694" s="5"/>
    </row>
    <row r="695">
      <c r="C695" s="5"/>
      <c r="D695" s="5"/>
      <c r="E695" s="5"/>
      <c r="F695" s="5"/>
      <c r="G695" s="5"/>
    </row>
    <row r="696">
      <c r="C696" s="5"/>
      <c r="D696" s="5"/>
      <c r="E696" s="5"/>
      <c r="F696" s="5"/>
      <c r="G696" s="5"/>
    </row>
    <row r="697">
      <c r="C697" s="5"/>
      <c r="D697" s="5"/>
      <c r="E697" s="5"/>
      <c r="F697" s="5"/>
      <c r="G697" s="5"/>
    </row>
    <row r="698">
      <c r="C698" s="5"/>
      <c r="D698" s="5"/>
      <c r="E698" s="5"/>
      <c r="F698" s="5"/>
      <c r="G698" s="5"/>
    </row>
    <row r="699">
      <c r="C699" s="5"/>
      <c r="D699" s="5"/>
      <c r="E699" s="5"/>
      <c r="F699" s="5"/>
      <c r="G699" s="5"/>
    </row>
    <row r="700">
      <c r="C700" s="5"/>
      <c r="D700" s="5"/>
      <c r="E700" s="5"/>
      <c r="F700" s="5"/>
      <c r="G700" s="5"/>
    </row>
    <row r="701">
      <c r="C701" s="5"/>
      <c r="D701" s="5"/>
      <c r="E701" s="5"/>
      <c r="F701" s="5"/>
      <c r="G701" s="5"/>
    </row>
    <row r="702">
      <c r="C702" s="5"/>
      <c r="D702" s="5"/>
      <c r="E702" s="5"/>
      <c r="F702" s="5"/>
      <c r="G702" s="5"/>
    </row>
    <row r="703">
      <c r="C703" s="5"/>
      <c r="D703" s="5"/>
      <c r="E703" s="5"/>
      <c r="F703" s="5"/>
      <c r="G703" s="5"/>
    </row>
    <row r="704">
      <c r="C704" s="5"/>
      <c r="D704" s="5"/>
      <c r="E704" s="5"/>
      <c r="F704" s="5"/>
      <c r="G704" s="5"/>
    </row>
    <row r="705">
      <c r="C705" s="5"/>
      <c r="D705" s="5"/>
      <c r="E705" s="5"/>
      <c r="F705" s="5"/>
      <c r="G705" s="5"/>
    </row>
    <row r="706">
      <c r="C706" s="5"/>
      <c r="D706" s="5"/>
      <c r="E706" s="5"/>
      <c r="F706" s="5"/>
      <c r="G706" s="5"/>
    </row>
    <row r="707">
      <c r="C707" s="5"/>
      <c r="D707" s="5"/>
      <c r="E707" s="5"/>
      <c r="F707" s="5"/>
      <c r="G707" s="5"/>
    </row>
    <row r="708">
      <c r="C708" s="5"/>
      <c r="D708" s="5"/>
      <c r="E708" s="5"/>
      <c r="F708" s="5"/>
      <c r="G708" s="5"/>
    </row>
    <row r="709">
      <c r="C709" s="5"/>
      <c r="D709" s="5"/>
      <c r="E709" s="5"/>
      <c r="F709" s="5"/>
      <c r="G709" s="5"/>
    </row>
    <row r="710">
      <c r="C710" s="5"/>
      <c r="D710" s="5"/>
      <c r="E710" s="5"/>
      <c r="F710" s="5"/>
      <c r="G710" s="5"/>
    </row>
    <row r="711">
      <c r="C711" s="5"/>
      <c r="D711" s="5"/>
      <c r="E711" s="5"/>
      <c r="F711" s="5"/>
      <c r="G711" s="5"/>
    </row>
    <row r="712">
      <c r="C712" s="5"/>
      <c r="D712" s="5"/>
      <c r="E712" s="5"/>
      <c r="F712" s="5"/>
      <c r="G712" s="5"/>
    </row>
    <row r="713">
      <c r="C713" s="5"/>
      <c r="D713" s="5"/>
      <c r="E713" s="5"/>
      <c r="F713" s="5"/>
      <c r="G713" s="5"/>
    </row>
    <row r="714">
      <c r="C714" s="5"/>
      <c r="D714" s="5"/>
      <c r="E714" s="5"/>
      <c r="F714" s="5"/>
      <c r="G714" s="5"/>
    </row>
    <row r="715">
      <c r="C715" s="5"/>
      <c r="D715" s="5"/>
      <c r="E715" s="5"/>
      <c r="F715" s="5"/>
      <c r="G715" s="5"/>
    </row>
    <row r="716">
      <c r="C716" s="5"/>
      <c r="D716" s="5"/>
      <c r="E716" s="5"/>
      <c r="F716" s="5"/>
      <c r="G716" s="5"/>
    </row>
    <row r="717">
      <c r="C717" s="5"/>
      <c r="D717" s="5"/>
      <c r="E717" s="5"/>
      <c r="F717" s="5"/>
      <c r="G717" s="5"/>
    </row>
    <row r="718">
      <c r="C718" s="5"/>
      <c r="D718" s="5"/>
      <c r="E718" s="5"/>
      <c r="F718" s="5"/>
      <c r="G718" s="5"/>
    </row>
    <row r="719">
      <c r="C719" s="5"/>
      <c r="D719" s="5"/>
      <c r="E719" s="5"/>
      <c r="F719" s="5"/>
      <c r="G719" s="5"/>
    </row>
    <row r="720">
      <c r="C720" s="5"/>
      <c r="D720" s="5"/>
      <c r="E720" s="5"/>
      <c r="F720" s="5"/>
      <c r="G720" s="5"/>
    </row>
    <row r="721">
      <c r="C721" s="5"/>
      <c r="D721" s="5"/>
      <c r="E721" s="5"/>
      <c r="F721" s="5"/>
      <c r="G721" s="5"/>
    </row>
    <row r="722">
      <c r="C722" s="5"/>
      <c r="D722" s="5"/>
      <c r="E722" s="5"/>
      <c r="F722" s="5"/>
      <c r="G722" s="5"/>
    </row>
    <row r="723">
      <c r="C723" s="5"/>
      <c r="D723" s="5"/>
      <c r="E723" s="5"/>
      <c r="F723" s="5"/>
      <c r="G723" s="5"/>
    </row>
    <row r="724">
      <c r="C724" s="5"/>
      <c r="D724" s="5"/>
      <c r="E724" s="5"/>
      <c r="F724" s="5"/>
      <c r="G724" s="5"/>
    </row>
    <row r="725">
      <c r="C725" s="5"/>
      <c r="D725" s="5"/>
      <c r="E725" s="5"/>
      <c r="F725" s="5"/>
      <c r="G725" s="5"/>
    </row>
    <row r="726">
      <c r="C726" s="5"/>
      <c r="D726" s="5"/>
      <c r="E726" s="5"/>
      <c r="F726" s="5"/>
      <c r="G726" s="5"/>
    </row>
    <row r="727">
      <c r="C727" s="5"/>
      <c r="D727" s="5"/>
      <c r="E727" s="5"/>
      <c r="F727" s="5"/>
      <c r="G727" s="5"/>
    </row>
    <row r="728">
      <c r="C728" s="5"/>
      <c r="D728" s="5"/>
      <c r="E728" s="5"/>
      <c r="F728" s="5"/>
      <c r="G728" s="5"/>
    </row>
    <row r="729">
      <c r="C729" s="5"/>
      <c r="D729" s="5"/>
      <c r="E729" s="5"/>
      <c r="F729" s="5"/>
      <c r="G729" s="5"/>
    </row>
    <row r="730">
      <c r="C730" s="5"/>
      <c r="D730" s="5"/>
      <c r="E730" s="5"/>
      <c r="F730" s="5"/>
      <c r="G730" s="5"/>
    </row>
    <row r="731">
      <c r="C731" s="5"/>
      <c r="D731" s="5"/>
      <c r="E731" s="5"/>
      <c r="F731" s="5"/>
      <c r="G731" s="5"/>
    </row>
    <row r="732">
      <c r="C732" s="5"/>
      <c r="D732" s="5"/>
      <c r="E732" s="5"/>
      <c r="F732" s="5"/>
      <c r="G732" s="5"/>
    </row>
    <row r="733">
      <c r="C733" s="5"/>
      <c r="D733" s="5"/>
      <c r="E733" s="5"/>
      <c r="F733" s="5"/>
      <c r="G733" s="5"/>
    </row>
    <row r="734">
      <c r="C734" s="5"/>
      <c r="D734" s="5"/>
      <c r="E734" s="5"/>
      <c r="F734" s="5"/>
      <c r="G734" s="5"/>
    </row>
    <row r="735">
      <c r="C735" s="5"/>
      <c r="D735" s="5"/>
      <c r="E735" s="5"/>
      <c r="F735" s="5"/>
      <c r="G735" s="5"/>
    </row>
    <row r="736">
      <c r="C736" s="5"/>
      <c r="D736" s="5"/>
      <c r="E736" s="5"/>
      <c r="F736" s="5"/>
      <c r="G736" s="5"/>
    </row>
    <row r="737">
      <c r="C737" s="5"/>
      <c r="D737" s="5"/>
      <c r="E737" s="5"/>
      <c r="F737" s="5"/>
      <c r="G737" s="5"/>
    </row>
    <row r="738">
      <c r="C738" s="5"/>
      <c r="D738" s="5"/>
      <c r="E738" s="5"/>
      <c r="F738" s="5"/>
      <c r="G738" s="5"/>
    </row>
    <row r="739">
      <c r="C739" s="5"/>
      <c r="D739" s="5"/>
      <c r="E739" s="5"/>
      <c r="F739" s="5"/>
      <c r="G739" s="5"/>
    </row>
    <row r="740">
      <c r="C740" s="5"/>
      <c r="D740" s="5"/>
      <c r="E740" s="5"/>
      <c r="F740" s="5"/>
      <c r="G740" s="5"/>
    </row>
    <row r="741">
      <c r="C741" s="5"/>
      <c r="D741" s="5"/>
      <c r="E741" s="5"/>
      <c r="F741" s="5"/>
      <c r="G741" s="5"/>
    </row>
    <row r="742">
      <c r="C742" s="5"/>
      <c r="D742" s="5"/>
      <c r="E742" s="5"/>
      <c r="F742" s="5"/>
      <c r="G742" s="5"/>
    </row>
    <row r="743">
      <c r="C743" s="5"/>
      <c r="D743" s="5"/>
      <c r="E743" s="5"/>
      <c r="F743" s="5"/>
      <c r="G743" s="5"/>
    </row>
    <row r="744">
      <c r="C744" s="5"/>
      <c r="D744" s="5"/>
      <c r="E744" s="5"/>
      <c r="F744" s="5"/>
      <c r="G744" s="5"/>
    </row>
    <row r="745">
      <c r="C745" s="5"/>
      <c r="D745" s="5"/>
      <c r="E745" s="5"/>
      <c r="F745" s="5"/>
      <c r="G745" s="5"/>
    </row>
    <row r="746">
      <c r="C746" s="5"/>
      <c r="D746" s="5"/>
      <c r="E746" s="5"/>
      <c r="F746" s="5"/>
      <c r="G746" s="5"/>
    </row>
    <row r="747">
      <c r="C747" s="5"/>
      <c r="D747" s="5"/>
      <c r="E747" s="5"/>
      <c r="F747" s="5"/>
      <c r="G747" s="5"/>
    </row>
    <row r="748">
      <c r="C748" s="5"/>
      <c r="D748" s="5"/>
      <c r="E748" s="5"/>
      <c r="F748" s="5"/>
      <c r="G748" s="5"/>
    </row>
    <row r="749">
      <c r="C749" s="5"/>
      <c r="D749" s="5"/>
      <c r="E749" s="5"/>
      <c r="F749" s="5"/>
      <c r="G749" s="5"/>
    </row>
    <row r="750">
      <c r="C750" s="5"/>
      <c r="D750" s="5"/>
      <c r="E750" s="5"/>
      <c r="F750" s="5"/>
      <c r="G750" s="5"/>
    </row>
    <row r="751">
      <c r="C751" s="5"/>
      <c r="D751" s="5"/>
      <c r="E751" s="5"/>
      <c r="F751" s="5"/>
      <c r="G751" s="5"/>
    </row>
    <row r="752">
      <c r="C752" s="5"/>
      <c r="D752" s="5"/>
      <c r="E752" s="5"/>
      <c r="F752" s="5"/>
      <c r="G752" s="5"/>
    </row>
    <row r="753">
      <c r="C753" s="5"/>
      <c r="D753" s="5"/>
      <c r="E753" s="5"/>
      <c r="F753" s="5"/>
      <c r="G753" s="5"/>
    </row>
    <row r="754">
      <c r="C754" s="5"/>
      <c r="D754" s="5"/>
      <c r="E754" s="5"/>
      <c r="F754" s="5"/>
      <c r="G754" s="5"/>
    </row>
    <row r="755">
      <c r="C755" s="5"/>
      <c r="D755" s="5"/>
      <c r="E755" s="5"/>
      <c r="F755" s="5"/>
      <c r="G755" s="5"/>
    </row>
    <row r="756">
      <c r="C756" s="5"/>
      <c r="D756" s="5"/>
      <c r="E756" s="5"/>
      <c r="F756" s="5"/>
      <c r="G756" s="5"/>
    </row>
    <row r="757">
      <c r="C757" s="5"/>
      <c r="D757" s="5"/>
      <c r="E757" s="5"/>
      <c r="F757" s="5"/>
      <c r="G757" s="5"/>
    </row>
    <row r="758">
      <c r="C758" s="5"/>
      <c r="D758" s="5"/>
      <c r="E758" s="5"/>
      <c r="F758" s="5"/>
      <c r="G758" s="5"/>
    </row>
    <row r="759">
      <c r="C759" s="5"/>
      <c r="D759" s="5"/>
      <c r="E759" s="5"/>
      <c r="F759" s="5"/>
      <c r="G759" s="5"/>
    </row>
    <row r="760">
      <c r="C760" s="5"/>
      <c r="D760" s="5"/>
      <c r="E760" s="5"/>
      <c r="F760" s="5"/>
      <c r="G760" s="5"/>
    </row>
    <row r="761">
      <c r="C761" s="5"/>
      <c r="D761" s="5"/>
      <c r="E761" s="5"/>
      <c r="F761" s="5"/>
      <c r="G761" s="5"/>
    </row>
    <row r="762">
      <c r="C762" s="5"/>
      <c r="D762" s="5"/>
      <c r="E762" s="5"/>
      <c r="F762" s="5"/>
      <c r="G762" s="5"/>
    </row>
    <row r="763">
      <c r="C763" s="5"/>
      <c r="D763" s="5"/>
      <c r="E763" s="5"/>
      <c r="F763" s="5"/>
      <c r="G763" s="5"/>
    </row>
    <row r="764">
      <c r="C764" s="5"/>
      <c r="D764" s="5"/>
      <c r="E764" s="5"/>
      <c r="F764" s="5"/>
      <c r="G764" s="5"/>
    </row>
    <row r="765">
      <c r="C765" s="5"/>
      <c r="D765" s="5"/>
      <c r="E765" s="5"/>
      <c r="F765" s="5"/>
      <c r="G765" s="5"/>
    </row>
    <row r="766">
      <c r="C766" s="5"/>
      <c r="D766" s="5"/>
      <c r="E766" s="5"/>
      <c r="F766" s="5"/>
      <c r="G766" s="5"/>
    </row>
    <row r="767">
      <c r="C767" s="5"/>
      <c r="D767" s="5"/>
      <c r="E767" s="5"/>
      <c r="F767" s="5"/>
      <c r="G767" s="5"/>
    </row>
    <row r="768">
      <c r="C768" s="5"/>
      <c r="D768" s="5"/>
      <c r="E768" s="5"/>
      <c r="F768" s="5"/>
      <c r="G768" s="5"/>
    </row>
    <row r="769">
      <c r="C769" s="5"/>
      <c r="D769" s="5"/>
      <c r="E769" s="5"/>
      <c r="F769" s="5"/>
      <c r="G769" s="5"/>
    </row>
    <row r="770">
      <c r="C770" s="5"/>
      <c r="D770" s="5"/>
      <c r="E770" s="5"/>
      <c r="F770" s="5"/>
      <c r="G770" s="5"/>
    </row>
    <row r="771">
      <c r="C771" s="5"/>
      <c r="D771" s="5"/>
      <c r="E771" s="5"/>
      <c r="F771" s="5"/>
      <c r="G771" s="5"/>
    </row>
    <row r="772">
      <c r="C772" s="5"/>
      <c r="D772" s="5"/>
      <c r="E772" s="5"/>
      <c r="F772" s="5"/>
      <c r="G772" s="5"/>
    </row>
    <row r="773">
      <c r="C773" s="5"/>
      <c r="D773" s="5"/>
      <c r="E773" s="5"/>
      <c r="F773" s="5"/>
      <c r="G773" s="5"/>
    </row>
    <row r="774">
      <c r="C774" s="5"/>
      <c r="D774" s="5"/>
      <c r="E774" s="5"/>
      <c r="F774" s="5"/>
      <c r="G774" s="5"/>
    </row>
    <row r="775">
      <c r="C775" s="5"/>
      <c r="D775" s="5"/>
      <c r="E775" s="5"/>
      <c r="F775" s="5"/>
      <c r="G775" s="5"/>
    </row>
    <row r="776">
      <c r="C776" s="5"/>
      <c r="D776" s="5"/>
      <c r="E776" s="5"/>
      <c r="F776" s="5"/>
      <c r="G776" s="5"/>
    </row>
    <row r="777">
      <c r="C777" s="5"/>
      <c r="D777" s="5"/>
      <c r="E777" s="5"/>
      <c r="F777" s="5"/>
      <c r="G777" s="5"/>
    </row>
    <row r="778">
      <c r="C778" s="5"/>
      <c r="D778" s="5"/>
      <c r="E778" s="5"/>
      <c r="F778" s="5"/>
      <c r="G778" s="5"/>
    </row>
    <row r="779">
      <c r="C779" s="5"/>
      <c r="D779" s="5"/>
      <c r="E779" s="5"/>
      <c r="F779" s="5"/>
      <c r="G779" s="5"/>
    </row>
    <row r="780">
      <c r="C780" s="5"/>
      <c r="D780" s="5"/>
      <c r="E780" s="5"/>
      <c r="F780" s="5"/>
      <c r="G780" s="5"/>
    </row>
    <row r="781">
      <c r="C781" s="5"/>
      <c r="D781" s="5"/>
      <c r="E781" s="5"/>
      <c r="F781" s="5"/>
      <c r="G781" s="5"/>
    </row>
    <row r="782">
      <c r="C782" s="5"/>
      <c r="D782" s="5"/>
      <c r="E782" s="5"/>
      <c r="F782" s="5"/>
      <c r="G782" s="5"/>
    </row>
    <row r="783">
      <c r="C783" s="5"/>
      <c r="D783" s="5"/>
      <c r="E783" s="5"/>
      <c r="F783" s="5"/>
      <c r="G783" s="5"/>
    </row>
    <row r="784">
      <c r="C784" s="5"/>
      <c r="D784" s="5"/>
      <c r="E784" s="5"/>
      <c r="F784" s="5"/>
      <c r="G784" s="5"/>
    </row>
    <row r="785">
      <c r="C785" s="5"/>
      <c r="D785" s="5"/>
      <c r="E785" s="5"/>
      <c r="F785" s="5"/>
      <c r="G785" s="5"/>
    </row>
    <row r="786">
      <c r="C786" s="5"/>
      <c r="D786" s="5"/>
      <c r="E786" s="5"/>
      <c r="F786" s="5"/>
      <c r="G786" s="5"/>
    </row>
    <row r="787">
      <c r="C787" s="5"/>
      <c r="D787" s="5"/>
      <c r="E787" s="5"/>
      <c r="F787" s="5"/>
      <c r="G787" s="5"/>
    </row>
    <row r="788">
      <c r="C788" s="5"/>
      <c r="D788" s="5"/>
      <c r="E788" s="5"/>
      <c r="F788" s="5"/>
      <c r="G788" s="5"/>
    </row>
    <row r="789">
      <c r="C789" s="5"/>
      <c r="D789" s="5"/>
      <c r="E789" s="5"/>
      <c r="F789" s="5"/>
      <c r="G789" s="5"/>
    </row>
    <row r="790">
      <c r="C790" s="5"/>
      <c r="D790" s="5"/>
      <c r="E790" s="5"/>
      <c r="F790" s="5"/>
      <c r="G790" s="5"/>
    </row>
    <row r="791">
      <c r="C791" s="5"/>
      <c r="D791" s="5"/>
      <c r="E791" s="5"/>
      <c r="F791" s="5"/>
      <c r="G791" s="5"/>
    </row>
    <row r="792">
      <c r="C792" s="5"/>
      <c r="D792" s="5"/>
      <c r="E792" s="5"/>
      <c r="F792" s="5"/>
      <c r="G792" s="5"/>
    </row>
    <row r="793">
      <c r="C793" s="5"/>
      <c r="D793" s="5"/>
      <c r="E793" s="5"/>
      <c r="F793" s="5"/>
      <c r="G793" s="5"/>
    </row>
    <row r="794">
      <c r="C794" s="5"/>
      <c r="D794" s="5"/>
      <c r="E794" s="5"/>
      <c r="F794" s="5"/>
      <c r="G794" s="5"/>
    </row>
    <row r="795">
      <c r="C795" s="5"/>
      <c r="D795" s="5"/>
      <c r="E795" s="5"/>
      <c r="F795" s="5"/>
      <c r="G795" s="5"/>
    </row>
    <row r="796">
      <c r="C796" s="5"/>
      <c r="D796" s="5"/>
      <c r="E796" s="5"/>
      <c r="F796" s="5"/>
      <c r="G796" s="5"/>
    </row>
    <row r="797">
      <c r="C797" s="5"/>
      <c r="D797" s="5"/>
      <c r="E797" s="5"/>
      <c r="F797" s="5"/>
      <c r="G797" s="5"/>
    </row>
    <row r="798">
      <c r="C798" s="5"/>
      <c r="D798" s="5"/>
      <c r="E798" s="5"/>
      <c r="F798" s="5"/>
      <c r="G798" s="5"/>
    </row>
    <row r="799">
      <c r="C799" s="5"/>
      <c r="D799" s="5"/>
      <c r="E799" s="5"/>
      <c r="F799" s="5"/>
      <c r="G799" s="5"/>
    </row>
    <row r="800">
      <c r="C800" s="5"/>
      <c r="D800" s="5"/>
      <c r="E800" s="5"/>
      <c r="F800" s="5"/>
      <c r="G800" s="5"/>
    </row>
    <row r="801">
      <c r="C801" s="5"/>
      <c r="D801" s="5"/>
      <c r="E801" s="5"/>
      <c r="F801" s="5"/>
      <c r="G801" s="5"/>
    </row>
    <row r="802">
      <c r="C802" s="5"/>
      <c r="D802" s="5"/>
      <c r="E802" s="5"/>
      <c r="F802" s="5"/>
      <c r="G802" s="5"/>
    </row>
    <row r="803">
      <c r="C803" s="5"/>
      <c r="D803" s="5"/>
      <c r="E803" s="5"/>
      <c r="F803" s="5"/>
      <c r="G803" s="5"/>
    </row>
    <row r="804">
      <c r="C804" s="5"/>
      <c r="D804" s="5"/>
      <c r="E804" s="5"/>
      <c r="F804" s="5"/>
      <c r="G804" s="5"/>
    </row>
    <row r="805">
      <c r="C805" s="5"/>
      <c r="D805" s="5"/>
      <c r="E805" s="5"/>
      <c r="F805" s="5"/>
      <c r="G805" s="5"/>
    </row>
    <row r="806">
      <c r="C806" s="5"/>
      <c r="D806" s="5"/>
      <c r="E806" s="5"/>
      <c r="F806" s="5"/>
      <c r="G806" s="5"/>
    </row>
    <row r="807">
      <c r="C807" s="5"/>
      <c r="D807" s="5"/>
      <c r="E807" s="5"/>
      <c r="F807" s="5"/>
      <c r="G807" s="5"/>
    </row>
    <row r="808">
      <c r="C808" s="5"/>
      <c r="D808" s="5"/>
      <c r="E808" s="5"/>
      <c r="F808" s="5"/>
      <c r="G808" s="5"/>
    </row>
    <row r="809">
      <c r="C809" s="5"/>
      <c r="D809" s="5"/>
      <c r="E809" s="5"/>
      <c r="F809" s="5"/>
      <c r="G809" s="5"/>
    </row>
    <row r="810">
      <c r="C810" s="5"/>
      <c r="D810" s="5"/>
      <c r="E810" s="5"/>
      <c r="F810" s="5"/>
      <c r="G810" s="5"/>
    </row>
    <row r="811">
      <c r="C811" s="5"/>
      <c r="D811" s="5"/>
      <c r="E811" s="5"/>
      <c r="F811" s="5"/>
      <c r="G811" s="5"/>
    </row>
    <row r="812">
      <c r="C812" s="5"/>
      <c r="D812" s="5"/>
      <c r="E812" s="5"/>
      <c r="F812" s="5"/>
      <c r="G812" s="5"/>
    </row>
    <row r="813">
      <c r="C813" s="5"/>
      <c r="D813" s="5"/>
      <c r="E813" s="5"/>
      <c r="F813" s="5"/>
      <c r="G813" s="5"/>
    </row>
    <row r="814">
      <c r="C814" s="5"/>
      <c r="D814" s="5"/>
      <c r="E814" s="5"/>
      <c r="F814" s="5"/>
      <c r="G814" s="5"/>
    </row>
    <row r="815">
      <c r="C815" s="5"/>
      <c r="D815" s="5"/>
      <c r="E815" s="5"/>
      <c r="F815" s="5"/>
      <c r="G815" s="5"/>
    </row>
    <row r="816">
      <c r="C816" s="5"/>
      <c r="D816" s="5"/>
      <c r="E816" s="5"/>
      <c r="F816" s="5"/>
      <c r="G816" s="5"/>
    </row>
    <row r="817">
      <c r="C817" s="5"/>
      <c r="D817" s="5"/>
      <c r="E817" s="5"/>
      <c r="F817" s="5"/>
      <c r="G817" s="5"/>
    </row>
    <row r="818">
      <c r="C818" s="5"/>
      <c r="D818" s="5"/>
      <c r="E818" s="5"/>
      <c r="F818" s="5"/>
      <c r="G818" s="5"/>
    </row>
    <row r="819">
      <c r="C819" s="5"/>
      <c r="D819" s="5"/>
      <c r="E819" s="5"/>
      <c r="F819" s="5"/>
      <c r="G819" s="5"/>
    </row>
    <row r="820">
      <c r="C820" s="5"/>
      <c r="D820" s="5"/>
      <c r="E820" s="5"/>
      <c r="F820" s="5"/>
      <c r="G820" s="5"/>
    </row>
    <row r="821">
      <c r="C821" s="5"/>
      <c r="D821" s="5"/>
      <c r="E821" s="5"/>
      <c r="F821" s="5"/>
      <c r="G821" s="5"/>
    </row>
    <row r="822">
      <c r="C822" s="5"/>
      <c r="D822" s="5"/>
      <c r="E822" s="5"/>
      <c r="F822" s="5"/>
      <c r="G822" s="5"/>
    </row>
    <row r="823">
      <c r="C823" s="5"/>
      <c r="D823" s="5"/>
      <c r="E823" s="5"/>
      <c r="F823" s="5"/>
      <c r="G823" s="5"/>
    </row>
    <row r="824">
      <c r="C824" s="5"/>
      <c r="D824" s="5"/>
      <c r="E824" s="5"/>
      <c r="F824" s="5"/>
      <c r="G824" s="5"/>
    </row>
    <row r="825">
      <c r="C825" s="5"/>
      <c r="D825" s="5"/>
      <c r="E825" s="5"/>
      <c r="F825" s="5"/>
      <c r="G825" s="5"/>
    </row>
    <row r="826">
      <c r="C826" s="5"/>
      <c r="D826" s="5"/>
      <c r="E826" s="5"/>
      <c r="F826" s="5"/>
      <c r="G826" s="5"/>
    </row>
    <row r="827">
      <c r="C827" s="5"/>
      <c r="D827" s="5"/>
      <c r="E827" s="5"/>
      <c r="F827" s="5"/>
      <c r="G827" s="5"/>
    </row>
    <row r="828">
      <c r="C828" s="5"/>
      <c r="D828" s="5"/>
      <c r="E828" s="5"/>
      <c r="F828" s="5"/>
      <c r="G828" s="5"/>
    </row>
    <row r="829">
      <c r="C829" s="5"/>
      <c r="D829" s="5"/>
      <c r="E829" s="5"/>
      <c r="F829" s="5"/>
      <c r="G829" s="5"/>
    </row>
    <row r="830">
      <c r="C830" s="5"/>
      <c r="D830" s="5"/>
      <c r="E830" s="5"/>
      <c r="F830" s="5"/>
      <c r="G830" s="5"/>
    </row>
    <row r="831">
      <c r="C831" s="5"/>
      <c r="D831" s="5"/>
      <c r="E831" s="5"/>
      <c r="F831" s="5"/>
      <c r="G831" s="5"/>
    </row>
    <row r="832">
      <c r="C832" s="5"/>
      <c r="D832" s="5"/>
      <c r="E832" s="5"/>
      <c r="F832" s="5"/>
      <c r="G832" s="5"/>
    </row>
    <row r="833">
      <c r="C833" s="5"/>
      <c r="D833" s="5"/>
      <c r="E833" s="5"/>
      <c r="F833" s="5"/>
      <c r="G833" s="5"/>
    </row>
    <row r="834">
      <c r="C834" s="5"/>
      <c r="D834" s="5"/>
      <c r="E834" s="5"/>
      <c r="F834" s="5"/>
      <c r="G834" s="5"/>
    </row>
    <row r="835">
      <c r="C835" s="5"/>
      <c r="D835" s="5"/>
      <c r="E835" s="5"/>
      <c r="F835" s="5"/>
      <c r="G835" s="5"/>
    </row>
    <row r="836">
      <c r="C836" s="5"/>
      <c r="D836" s="5"/>
      <c r="E836" s="5"/>
      <c r="F836" s="5"/>
      <c r="G836" s="5"/>
    </row>
    <row r="837">
      <c r="C837" s="5"/>
      <c r="D837" s="5"/>
      <c r="E837" s="5"/>
      <c r="F837" s="5"/>
      <c r="G837" s="5"/>
    </row>
    <row r="838">
      <c r="C838" s="5"/>
      <c r="D838" s="5"/>
      <c r="E838" s="5"/>
      <c r="F838" s="5"/>
      <c r="G838" s="5"/>
    </row>
    <row r="839">
      <c r="C839" s="5"/>
      <c r="D839" s="5"/>
      <c r="E839" s="5"/>
      <c r="F839" s="5"/>
      <c r="G839" s="5"/>
    </row>
    <row r="840">
      <c r="C840" s="5"/>
      <c r="D840" s="5"/>
      <c r="E840" s="5"/>
      <c r="F840" s="5"/>
      <c r="G840" s="5"/>
    </row>
    <row r="841">
      <c r="C841" s="5"/>
      <c r="D841" s="5"/>
      <c r="E841" s="5"/>
      <c r="F841" s="5"/>
      <c r="G841" s="5"/>
    </row>
    <row r="842">
      <c r="C842" s="5"/>
      <c r="D842" s="5"/>
      <c r="E842" s="5"/>
      <c r="F842" s="5"/>
      <c r="G842" s="5"/>
    </row>
    <row r="843">
      <c r="C843" s="5"/>
      <c r="D843" s="5"/>
      <c r="E843" s="5"/>
      <c r="F843" s="5"/>
      <c r="G843" s="5"/>
    </row>
    <row r="844">
      <c r="C844" s="5"/>
      <c r="D844" s="5"/>
      <c r="E844" s="5"/>
      <c r="F844" s="5"/>
      <c r="G844" s="5"/>
    </row>
    <row r="845">
      <c r="C845" s="5"/>
      <c r="D845" s="5"/>
      <c r="E845" s="5"/>
      <c r="F845" s="5"/>
      <c r="G845" s="5"/>
    </row>
    <row r="846">
      <c r="C846" s="5"/>
      <c r="D846" s="5"/>
      <c r="E846" s="5"/>
      <c r="F846" s="5"/>
      <c r="G846" s="5"/>
    </row>
    <row r="847">
      <c r="C847" s="5"/>
      <c r="D847" s="5"/>
      <c r="E847" s="5"/>
      <c r="F847" s="5"/>
      <c r="G847" s="5"/>
    </row>
    <row r="848">
      <c r="C848" s="5"/>
      <c r="D848" s="5"/>
      <c r="E848" s="5"/>
      <c r="F848" s="5"/>
      <c r="G848" s="5"/>
    </row>
    <row r="849">
      <c r="C849" s="5"/>
      <c r="D849" s="5"/>
      <c r="E849" s="5"/>
      <c r="F849" s="5"/>
      <c r="G849" s="5"/>
    </row>
    <row r="850">
      <c r="C850" s="5"/>
      <c r="D850" s="5"/>
      <c r="E850" s="5"/>
      <c r="F850" s="5"/>
      <c r="G850" s="5"/>
    </row>
    <row r="851">
      <c r="C851" s="5"/>
      <c r="D851" s="5"/>
      <c r="E851" s="5"/>
      <c r="F851" s="5"/>
      <c r="G851" s="5"/>
    </row>
    <row r="852">
      <c r="C852" s="5"/>
      <c r="D852" s="5"/>
      <c r="E852" s="5"/>
      <c r="F852" s="5"/>
      <c r="G852" s="5"/>
    </row>
    <row r="853">
      <c r="C853" s="5"/>
      <c r="D853" s="5"/>
      <c r="E853" s="5"/>
      <c r="F853" s="5"/>
      <c r="G853" s="5"/>
    </row>
    <row r="854">
      <c r="C854" s="5"/>
      <c r="D854" s="5"/>
      <c r="E854" s="5"/>
      <c r="F854" s="5"/>
      <c r="G854" s="5"/>
    </row>
    <row r="855">
      <c r="C855" s="5"/>
      <c r="D855" s="5"/>
      <c r="E855" s="5"/>
      <c r="F855" s="5"/>
      <c r="G855" s="5"/>
    </row>
    <row r="856">
      <c r="C856" s="5"/>
      <c r="D856" s="5"/>
      <c r="E856" s="5"/>
      <c r="F856" s="5"/>
      <c r="G856" s="5"/>
    </row>
    <row r="857">
      <c r="C857" s="5"/>
      <c r="D857" s="5"/>
      <c r="E857" s="5"/>
      <c r="F857" s="5"/>
      <c r="G857" s="5"/>
    </row>
    <row r="858">
      <c r="C858" s="5"/>
      <c r="D858" s="5"/>
      <c r="E858" s="5"/>
      <c r="F858" s="5"/>
      <c r="G858" s="5"/>
    </row>
    <row r="859">
      <c r="C859" s="5"/>
      <c r="D859" s="5"/>
      <c r="E859" s="5"/>
      <c r="F859" s="5"/>
      <c r="G859" s="5"/>
    </row>
    <row r="860">
      <c r="C860" s="5"/>
      <c r="D860" s="5"/>
      <c r="E860" s="5"/>
      <c r="F860" s="5"/>
      <c r="G860" s="5"/>
    </row>
    <row r="861">
      <c r="C861" s="5"/>
      <c r="D861" s="5"/>
      <c r="E861" s="5"/>
      <c r="F861" s="5"/>
      <c r="G861" s="5"/>
    </row>
    <row r="862">
      <c r="C862" s="5"/>
      <c r="D862" s="5"/>
      <c r="E862" s="5"/>
      <c r="F862" s="5"/>
      <c r="G862" s="5"/>
    </row>
    <row r="863">
      <c r="C863" s="5"/>
      <c r="D863" s="5"/>
      <c r="E863" s="5"/>
      <c r="F863" s="5"/>
      <c r="G863" s="5"/>
    </row>
    <row r="864">
      <c r="C864" s="5"/>
      <c r="D864" s="5"/>
      <c r="E864" s="5"/>
      <c r="F864" s="5"/>
      <c r="G864" s="5"/>
    </row>
    <row r="865">
      <c r="C865" s="5"/>
      <c r="D865" s="5"/>
      <c r="E865" s="5"/>
      <c r="F865" s="5"/>
      <c r="G865" s="5"/>
    </row>
    <row r="866">
      <c r="C866" s="5"/>
      <c r="D866" s="5"/>
      <c r="E866" s="5"/>
      <c r="F866" s="5"/>
      <c r="G866" s="5"/>
    </row>
    <row r="867">
      <c r="C867" s="5"/>
      <c r="D867" s="5"/>
      <c r="E867" s="5"/>
      <c r="F867" s="5"/>
      <c r="G867" s="5"/>
    </row>
    <row r="868">
      <c r="C868" s="5"/>
      <c r="D868" s="5"/>
      <c r="E868" s="5"/>
      <c r="F868" s="5"/>
      <c r="G868" s="5"/>
    </row>
    <row r="869">
      <c r="C869" s="5"/>
      <c r="D869" s="5"/>
      <c r="E869" s="5"/>
      <c r="F869" s="5"/>
      <c r="G869" s="5"/>
    </row>
    <row r="870">
      <c r="C870" s="5"/>
      <c r="D870" s="5"/>
      <c r="E870" s="5"/>
      <c r="F870" s="5"/>
      <c r="G870" s="5"/>
    </row>
    <row r="871">
      <c r="C871" s="5"/>
      <c r="D871" s="5"/>
      <c r="E871" s="5"/>
      <c r="F871" s="5"/>
      <c r="G871" s="5"/>
    </row>
    <row r="872">
      <c r="C872" s="5"/>
      <c r="D872" s="5"/>
      <c r="E872" s="5"/>
      <c r="F872" s="5"/>
      <c r="G872" s="5"/>
    </row>
    <row r="873">
      <c r="C873" s="5"/>
      <c r="D873" s="5"/>
      <c r="E873" s="5"/>
      <c r="F873" s="5"/>
      <c r="G873" s="5"/>
    </row>
    <row r="874">
      <c r="C874" s="5"/>
      <c r="D874" s="5"/>
      <c r="E874" s="5"/>
      <c r="F874" s="5"/>
      <c r="G874" s="5"/>
    </row>
    <row r="875">
      <c r="C875" s="5"/>
      <c r="D875" s="5"/>
      <c r="E875" s="5"/>
      <c r="F875" s="5"/>
      <c r="G875" s="5"/>
    </row>
    <row r="876">
      <c r="C876" s="5"/>
      <c r="D876" s="5"/>
      <c r="E876" s="5"/>
      <c r="F876" s="5"/>
      <c r="G876" s="5"/>
    </row>
    <row r="877">
      <c r="C877" s="5"/>
      <c r="D877" s="5"/>
      <c r="E877" s="5"/>
      <c r="F877" s="5"/>
      <c r="G877" s="5"/>
    </row>
    <row r="878">
      <c r="C878" s="5"/>
      <c r="D878" s="5"/>
      <c r="E878" s="5"/>
      <c r="F878" s="5"/>
      <c r="G878" s="5"/>
    </row>
    <row r="879">
      <c r="C879" s="5"/>
      <c r="D879" s="5"/>
      <c r="E879" s="5"/>
      <c r="F879" s="5"/>
      <c r="G879" s="5"/>
    </row>
    <row r="880">
      <c r="C880" s="5"/>
      <c r="D880" s="5"/>
      <c r="E880" s="5"/>
      <c r="F880" s="5"/>
      <c r="G880" s="5"/>
    </row>
    <row r="881">
      <c r="C881" s="5"/>
      <c r="D881" s="5"/>
      <c r="E881" s="5"/>
      <c r="F881" s="5"/>
      <c r="G881" s="5"/>
    </row>
    <row r="882">
      <c r="C882" s="5"/>
      <c r="D882" s="5"/>
      <c r="E882" s="5"/>
      <c r="F882" s="5"/>
      <c r="G882" s="5"/>
    </row>
    <row r="883">
      <c r="C883" s="5"/>
      <c r="D883" s="5"/>
      <c r="E883" s="5"/>
      <c r="F883" s="5"/>
      <c r="G883" s="5"/>
    </row>
    <row r="884">
      <c r="C884" s="5"/>
      <c r="D884" s="5"/>
      <c r="E884" s="5"/>
      <c r="F884" s="5"/>
      <c r="G884" s="5"/>
    </row>
    <row r="885">
      <c r="C885" s="5"/>
      <c r="D885" s="5"/>
      <c r="E885" s="5"/>
      <c r="F885" s="5"/>
      <c r="G885" s="5"/>
    </row>
    <row r="886">
      <c r="C886" s="5"/>
      <c r="D886" s="5"/>
      <c r="E886" s="5"/>
      <c r="F886" s="5"/>
      <c r="G886" s="5"/>
    </row>
    <row r="887">
      <c r="C887" s="5"/>
      <c r="D887" s="5"/>
      <c r="E887" s="5"/>
      <c r="F887" s="5"/>
      <c r="G887" s="5"/>
    </row>
    <row r="888">
      <c r="C888" s="5"/>
      <c r="D888" s="5"/>
      <c r="E888" s="5"/>
      <c r="F888" s="5"/>
      <c r="G888" s="5"/>
    </row>
    <row r="889">
      <c r="C889" s="5"/>
      <c r="D889" s="5"/>
      <c r="E889" s="5"/>
      <c r="F889" s="5"/>
      <c r="G889" s="5"/>
    </row>
    <row r="890">
      <c r="C890" s="5"/>
      <c r="D890" s="5"/>
      <c r="E890" s="5"/>
      <c r="F890" s="5"/>
      <c r="G890" s="5"/>
    </row>
    <row r="891">
      <c r="C891" s="5"/>
      <c r="D891" s="5"/>
      <c r="E891" s="5"/>
      <c r="F891" s="5"/>
      <c r="G891" s="5"/>
    </row>
    <row r="892">
      <c r="C892" s="5"/>
      <c r="D892" s="5"/>
      <c r="E892" s="5"/>
      <c r="F892" s="5"/>
      <c r="G892" s="5"/>
    </row>
    <row r="893">
      <c r="C893" s="5"/>
      <c r="D893" s="5"/>
      <c r="E893" s="5"/>
      <c r="F893" s="5"/>
      <c r="G893" s="5"/>
    </row>
    <row r="894">
      <c r="C894" s="5"/>
      <c r="D894" s="5"/>
      <c r="E894" s="5"/>
      <c r="F894" s="5"/>
      <c r="G894" s="5"/>
    </row>
    <row r="895">
      <c r="C895" s="5"/>
      <c r="D895" s="5"/>
      <c r="E895" s="5"/>
      <c r="F895" s="5"/>
      <c r="G895" s="5"/>
    </row>
    <row r="896">
      <c r="C896" s="5"/>
      <c r="D896" s="5"/>
      <c r="E896" s="5"/>
      <c r="F896" s="5"/>
      <c r="G896" s="5"/>
    </row>
    <row r="897">
      <c r="C897" s="5"/>
      <c r="D897" s="5"/>
      <c r="E897" s="5"/>
      <c r="F897" s="5"/>
      <c r="G897" s="5"/>
    </row>
    <row r="898">
      <c r="C898" s="5"/>
      <c r="D898" s="5"/>
      <c r="E898" s="5"/>
      <c r="F898" s="5"/>
      <c r="G898" s="5"/>
    </row>
    <row r="899">
      <c r="C899" s="5"/>
      <c r="D899" s="5"/>
      <c r="E899" s="5"/>
      <c r="F899" s="5"/>
      <c r="G899" s="5"/>
    </row>
    <row r="900">
      <c r="C900" s="5"/>
      <c r="D900" s="5"/>
      <c r="E900" s="5"/>
      <c r="F900" s="5"/>
      <c r="G900" s="5"/>
    </row>
    <row r="901">
      <c r="C901" s="5"/>
      <c r="D901" s="5"/>
      <c r="E901" s="5"/>
      <c r="F901" s="5"/>
      <c r="G901" s="5"/>
    </row>
    <row r="902">
      <c r="C902" s="5"/>
      <c r="D902" s="5"/>
      <c r="E902" s="5"/>
      <c r="F902" s="5"/>
      <c r="G902" s="5"/>
    </row>
    <row r="903">
      <c r="C903" s="5"/>
      <c r="D903" s="5"/>
      <c r="E903" s="5"/>
      <c r="F903" s="5"/>
      <c r="G903" s="5"/>
    </row>
    <row r="904">
      <c r="C904" s="5"/>
      <c r="D904" s="5"/>
      <c r="E904" s="5"/>
      <c r="F904" s="5"/>
      <c r="G904" s="5"/>
    </row>
    <row r="905">
      <c r="C905" s="5"/>
      <c r="D905" s="5"/>
      <c r="E905" s="5"/>
      <c r="F905" s="5"/>
      <c r="G905" s="5"/>
    </row>
    <row r="906">
      <c r="C906" s="5"/>
      <c r="D906" s="5"/>
      <c r="E906" s="5"/>
      <c r="F906" s="5"/>
      <c r="G906" s="5"/>
    </row>
    <row r="907">
      <c r="C907" s="5"/>
      <c r="D907" s="5"/>
      <c r="E907" s="5"/>
      <c r="F907" s="5"/>
      <c r="G907" s="5"/>
    </row>
    <row r="908">
      <c r="C908" s="5"/>
      <c r="D908" s="5"/>
      <c r="E908" s="5"/>
      <c r="F908" s="5"/>
      <c r="G908" s="5"/>
    </row>
    <row r="909">
      <c r="C909" s="5"/>
      <c r="D909" s="5"/>
      <c r="E909" s="5"/>
      <c r="F909" s="5"/>
      <c r="G909" s="5"/>
    </row>
    <row r="910">
      <c r="C910" s="5"/>
      <c r="D910" s="5"/>
      <c r="E910" s="5"/>
      <c r="F910" s="5"/>
      <c r="G910" s="5"/>
    </row>
    <row r="911">
      <c r="C911" s="5"/>
      <c r="D911" s="5"/>
      <c r="E911" s="5"/>
      <c r="F911" s="5"/>
      <c r="G911" s="5"/>
    </row>
    <row r="912">
      <c r="C912" s="5"/>
      <c r="D912" s="5"/>
      <c r="E912" s="5"/>
      <c r="F912" s="5"/>
      <c r="G912" s="5"/>
    </row>
    <row r="913">
      <c r="C913" s="5"/>
      <c r="D913" s="5"/>
      <c r="E913" s="5"/>
      <c r="F913" s="5"/>
      <c r="G913" s="5"/>
    </row>
    <row r="914">
      <c r="C914" s="5"/>
      <c r="D914" s="5"/>
      <c r="E914" s="5"/>
      <c r="F914" s="5"/>
      <c r="G914" s="5"/>
    </row>
    <row r="915">
      <c r="C915" s="5"/>
      <c r="D915" s="5"/>
      <c r="E915" s="5"/>
      <c r="F915" s="5"/>
      <c r="G915" s="5"/>
    </row>
    <row r="916">
      <c r="C916" s="5"/>
      <c r="D916" s="5"/>
      <c r="E916" s="5"/>
      <c r="F916" s="5"/>
      <c r="G916" s="5"/>
    </row>
    <row r="917">
      <c r="C917" s="5"/>
      <c r="D917" s="5"/>
      <c r="E917" s="5"/>
      <c r="F917" s="5"/>
      <c r="G917" s="5"/>
    </row>
    <row r="918">
      <c r="C918" s="5"/>
      <c r="D918" s="5"/>
      <c r="E918" s="5"/>
      <c r="F918" s="5"/>
      <c r="G918" s="5"/>
    </row>
    <row r="919">
      <c r="C919" s="5"/>
      <c r="D919" s="5"/>
      <c r="E919" s="5"/>
      <c r="F919" s="5"/>
      <c r="G919" s="5"/>
    </row>
    <row r="920">
      <c r="C920" s="5"/>
      <c r="D920" s="5"/>
      <c r="E920" s="5"/>
      <c r="F920" s="5"/>
      <c r="G920" s="5"/>
    </row>
    <row r="921">
      <c r="C921" s="5"/>
      <c r="D921" s="5"/>
      <c r="E921" s="5"/>
      <c r="F921" s="5"/>
      <c r="G921" s="5"/>
    </row>
    <row r="922">
      <c r="C922" s="5"/>
      <c r="D922" s="5"/>
      <c r="E922" s="5"/>
      <c r="F922" s="5"/>
      <c r="G922" s="5"/>
    </row>
    <row r="923">
      <c r="C923" s="5"/>
      <c r="D923" s="5"/>
      <c r="E923" s="5"/>
      <c r="F923" s="5"/>
      <c r="G923" s="5"/>
    </row>
    <row r="924">
      <c r="C924" s="5"/>
      <c r="D924" s="5"/>
      <c r="E924" s="5"/>
      <c r="F924" s="5"/>
      <c r="G924" s="5"/>
    </row>
    <row r="925">
      <c r="C925" s="5"/>
      <c r="D925" s="5"/>
      <c r="E925" s="5"/>
      <c r="F925" s="5"/>
      <c r="G925" s="5"/>
    </row>
    <row r="926">
      <c r="C926" s="5"/>
      <c r="D926" s="5"/>
      <c r="E926" s="5"/>
      <c r="F926" s="5"/>
      <c r="G926" s="5"/>
    </row>
    <row r="927">
      <c r="C927" s="5"/>
      <c r="D927" s="5"/>
      <c r="E927" s="5"/>
      <c r="F927" s="5"/>
      <c r="G927" s="5"/>
    </row>
    <row r="928">
      <c r="C928" s="5"/>
      <c r="D928" s="5"/>
      <c r="E928" s="5"/>
      <c r="F928" s="5"/>
      <c r="G928" s="5"/>
    </row>
    <row r="929">
      <c r="C929" s="5"/>
      <c r="D929" s="5"/>
      <c r="E929" s="5"/>
      <c r="F929" s="5"/>
      <c r="G929" s="5"/>
    </row>
    <row r="930">
      <c r="C930" s="5"/>
      <c r="D930" s="5"/>
      <c r="E930" s="5"/>
      <c r="F930" s="5"/>
      <c r="G930" s="5"/>
    </row>
    <row r="931">
      <c r="C931" s="5"/>
      <c r="D931" s="5"/>
      <c r="E931" s="5"/>
      <c r="F931" s="5"/>
      <c r="G931" s="5"/>
    </row>
    <row r="932">
      <c r="C932" s="5"/>
      <c r="D932" s="5"/>
      <c r="E932" s="5"/>
      <c r="F932" s="5"/>
      <c r="G932" s="5"/>
    </row>
    <row r="933">
      <c r="C933" s="5"/>
      <c r="D933" s="5"/>
      <c r="E933" s="5"/>
      <c r="F933" s="5"/>
      <c r="G933" s="5"/>
    </row>
    <row r="934">
      <c r="C934" s="5"/>
      <c r="D934" s="5"/>
      <c r="E934" s="5"/>
      <c r="F934" s="5"/>
      <c r="G934" s="5"/>
    </row>
    <row r="935">
      <c r="C935" s="5"/>
      <c r="D935" s="5"/>
      <c r="E935" s="5"/>
      <c r="F935" s="5"/>
      <c r="G935" s="5"/>
    </row>
    <row r="936">
      <c r="C936" s="5"/>
      <c r="D936" s="5"/>
      <c r="E936" s="5"/>
      <c r="F936" s="5"/>
      <c r="G936" s="5"/>
    </row>
    <row r="937">
      <c r="C937" s="5"/>
      <c r="D937" s="5"/>
      <c r="E937" s="5"/>
      <c r="F937" s="5"/>
      <c r="G937" s="5"/>
    </row>
    <row r="938">
      <c r="C938" s="5"/>
      <c r="D938" s="5"/>
      <c r="E938" s="5"/>
      <c r="F938" s="5"/>
      <c r="G938" s="5"/>
    </row>
    <row r="939">
      <c r="C939" s="5"/>
      <c r="D939" s="5"/>
      <c r="E939" s="5"/>
      <c r="F939" s="5"/>
      <c r="G939" s="5"/>
    </row>
    <row r="940">
      <c r="C940" s="5"/>
      <c r="D940" s="5"/>
      <c r="E940" s="5"/>
      <c r="F940" s="5"/>
      <c r="G940" s="5"/>
    </row>
    <row r="941">
      <c r="C941" s="5"/>
      <c r="D941" s="5"/>
      <c r="E941" s="5"/>
      <c r="F941" s="5"/>
      <c r="G941" s="5"/>
    </row>
    <row r="942">
      <c r="C942" s="5"/>
      <c r="D942" s="5"/>
      <c r="E942" s="5"/>
      <c r="F942" s="5"/>
      <c r="G942" s="5"/>
    </row>
    <row r="943">
      <c r="C943" s="5"/>
      <c r="D943" s="5"/>
      <c r="E943" s="5"/>
      <c r="F943" s="5"/>
      <c r="G943" s="5"/>
    </row>
    <row r="944">
      <c r="C944" s="5"/>
      <c r="D944" s="5"/>
      <c r="E944" s="5"/>
      <c r="F944" s="5"/>
      <c r="G944" s="5"/>
    </row>
    <row r="945">
      <c r="C945" s="5"/>
      <c r="D945" s="5"/>
      <c r="E945" s="5"/>
      <c r="F945" s="5"/>
      <c r="G945" s="5"/>
    </row>
    <row r="946">
      <c r="C946" s="5"/>
      <c r="D946" s="5"/>
      <c r="E946" s="5"/>
      <c r="F946" s="5"/>
      <c r="G946" s="5"/>
    </row>
    <row r="947">
      <c r="C947" s="5"/>
      <c r="D947" s="5"/>
      <c r="E947" s="5"/>
      <c r="F947" s="5"/>
      <c r="G947" s="5"/>
    </row>
    <row r="948">
      <c r="C948" s="5"/>
      <c r="D948" s="5"/>
      <c r="E948" s="5"/>
      <c r="F948" s="5"/>
      <c r="G948" s="5"/>
    </row>
    <row r="949">
      <c r="C949" s="5"/>
      <c r="D949" s="5"/>
      <c r="E949" s="5"/>
      <c r="F949" s="5"/>
      <c r="G949" s="5"/>
    </row>
    <row r="950">
      <c r="C950" s="5"/>
      <c r="D950" s="5"/>
      <c r="E950" s="5"/>
      <c r="F950" s="5"/>
      <c r="G950" s="5"/>
    </row>
    <row r="951">
      <c r="C951" s="5"/>
      <c r="D951" s="5"/>
      <c r="E951" s="5"/>
      <c r="F951" s="5"/>
      <c r="G951" s="5"/>
    </row>
    <row r="952">
      <c r="C952" s="5"/>
      <c r="D952" s="5"/>
      <c r="E952" s="5"/>
      <c r="F952" s="5"/>
      <c r="G952" s="5"/>
    </row>
    <row r="953">
      <c r="C953" s="5"/>
      <c r="D953" s="5"/>
      <c r="E953" s="5"/>
      <c r="F953" s="5"/>
      <c r="G953" s="5"/>
    </row>
    <row r="954">
      <c r="C954" s="5"/>
      <c r="D954" s="5"/>
      <c r="E954" s="5"/>
      <c r="F954" s="5"/>
      <c r="G954" s="5"/>
    </row>
    <row r="955">
      <c r="C955" s="5"/>
      <c r="D955" s="5"/>
      <c r="E955" s="5"/>
      <c r="F955" s="5"/>
      <c r="G955" s="5"/>
    </row>
    <row r="956">
      <c r="C956" s="5"/>
      <c r="D956" s="5"/>
      <c r="E956" s="5"/>
      <c r="F956" s="5"/>
      <c r="G956" s="5"/>
    </row>
    <row r="957">
      <c r="C957" s="5"/>
      <c r="D957" s="5"/>
      <c r="E957" s="5"/>
      <c r="F957" s="5"/>
      <c r="G957" s="5"/>
    </row>
    <row r="958">
      <c r="C958" s="5"/>
      <c r="D958" s="5"/>
      <c r="E958" s="5"/>
      <c r="F958" s="5"/>
      <c r="G958" s="5"/>
    </row>
    <row r="959">
      <c r="C959" s="5"/>
      <c r="D959" s="5"/>
      <c r="E959" s="5"/>
      <c r="F959" s="5"/>
      <c r="G959" s="5"/>
    </row>
    <row r="960">
      <c r="C960" s="5"/>
      <c r="D960" s="5"/>
      <c r="E960" s="5"/>
      <c r="F960" s="5"/>
      <c r="G960" s="5"/>
    </row>
    <row r="961">
      <c r="C961" s="5"/>
      <c r="D961" s="5"/>
      <c r="E961" s="5"/>
      <c r="F961" s="5"/>
      <c r="G961" s="5"/>
    </row>
    <row r="962">
      <c r="C962" s="5"/>
      <c r="D962" s="5"/>
      <c r="E962" s="5"/>
      <c r="F962" s="5"/>
      <c r="G962" s="5"/>
    </row>
    <row r="963">
      <c r="C963" s="5"/>
      <c r="D963" s="5"/>
      <c r="E963" s="5"/>
      <c r="F963" s="5"/>
      <c r="G963" s="5"/>
    </row>
    <row r="964">
      <c r="C964" s="5"/>
      <c r="D964" s="5"/>
      <c r="E964" s="5"/>
      <c r="F964" s="5"/>
      <c r="G964" s="5"/>
    </row>
    <row r="965">
      <c r="C965" s="5"/>
      <c r="D965" s="5"/>
      <c r="E965" s="5"/>
      <c r="F965" s="5"/>
      <c r="G965" s="5"/>
    </row>
    <row r="966">
      <c r="C966" s="5"/>
      <c r="D966" s="5"/>
      <c r="E966" s="5"/>
      <c r="F966" s="5"/>
      <c r="G966" s="5"/>
    </row>
    <row r="967">
      <c r="C967" s="5"/>
      <c r="D967" s="5"/>
      <c r="E967" s="5"/>
      <c r="F967" s="5"/>
      <c r="G967" s="5"/>
    </row>
    <row r="968">
      <c r="C968" s="5"/>
      <c r="D968" s="5"/>
      <c r="E968" s="5"/>
      <c r="F968" s="5"/>
      <c r="G968" s="5"/>
    </row>
    <row r="969">
      <c r="C969" s="5"/>
      <c r="D969" s="5"/>
      <c r="E969" s="5"/>
      <c r="F969" s="5"/>
      <c r="G969" s="5"/>
    </row>
    <row r="970">
      <c r="C970" s="5"/>
      <c r="D970" s="5"/>
      <c r="E970" s="5"/>
      <c r="F970" s="5"/>
      <c r="G970" s="5"/>
    </row>
    <row r="971">
      <c r="C971" s="5"/>
      <c r="D971" s="5"/>
      <c r="E971" s="5"/>
      <c r="F971" s="5"/>
      <c r="G971" s="5"/>
    </row>
    <row r="972">
      <c r="C972" s="5"/>
      <c r="D972" s="5"/>
      <c r="E972" s="5"/>
      <c r="F972" s="5"/>
      <c r="G972" s="5"/>
    </row>
    <row r="973">
      <c r="C973" s="5"/>
      <c r="D973" s="5"/>
      <c r="E973" s="5"/>
      <c r="F973" s="5"/>
      <c r="G973" s="5"/>
    </row>
    <row r="974">
      <c r="C974" s="5"/>
      <c r="D974" s="5"/>
      <c r="E974" s="5"/>
      <c r="F974" s="5"/>
      <c r="G974" s="5"/>
    </row>
    <row r="975">
      <c r="C975" s="5"/>
      <c r="D975" s="5"/>
      <c r="E975" s="5"/>
      <c r="F975" s="5"/>
      <c r="G975" s="5"/>
    </row>
    <row r="976">
      <c r="C976" s="5"/>
      <c r="D976" s="5"/>
      <c r="E976" s="5"/>
      <c r="F976" s="5"/>
      <c r="G976" s="5"/>
    </row>
    <row r="977">
      <c r="C977" s="5"/>
      <c r="D977" s="5"/>
      <c r="E977" s="5"/>
      <c r="F977" s="5"/>
      <c r="G977" s="5"/>
    </row>
    <row r="978">
      <c r="C978" s="5"/>
      <c r="D978" s="5"/>
      <c r="E978" s="5"/>
      <c r="F978" s="5"/>
      <c r="G978" s="5"/>
    </row>
    <row r="979">
      <c r="C979" s="5"/>
      <c r="D979" s="5"/>
      <c r="E979" s="5"/>
      <c r="F979" s="5"/>
      <c r="G979" s="5"/>
    </row>
    <row r="980">
      <c r="C980" s="5"/>
      <c r="D980" s="5"/>
      <c r="E980" s="5"/>
      <c r="F980" s="5"/>
      <c r="G980" s="5"/>
    </row>
    <row r="981">
      <c r="C981" s="5"/>
      <c r="D981" s="5"/>
      <c r="E981" s="5"/>
      <c r="F981" s="5"/>
      <c r="G981" s="5"/>
    </row>
    <row r="982">
      <c r="C982" s="5"/>
      <c r="D982" s="5"/>
      <c r="E982" s="5"/>
      <c r="F982" s="5"/>
      <c r="G982" s="5"/>
    </row>
    <row r="983">
      <c r="C983" s="5"/>
      <c r="D983" s="5"/>
      <c r="E983" s="5"/>
      <c r="F983" s="5"/>
      <c r="G983" s="5"/>
    </row>
    <row r="984">
      <c r="C984" s="5"/>
      <c r="D984" s="5"/>
      <c r="E984" s="5"/>
      <c r="F984" s="5"/>
      <c r="G984" s="5"/>
    </row>
    <row r="985">
      <c r="C985" s="5"/>
      <c r="D985" s="5"/>
      <c r="E985" s="5"/>
      <c r="F985" s="5"/>
      <c r="G985" s="5"/>
    </row>
    <row r="986">
      <c r="C986" s="5"/>
      <c r="D986" s="5"/>
      <c r="E986" s="5"/>
      <c r="F986" s="5"/>
      <c r="G986" s="5"/>
    </row>
    <row r="987">
      <c r="C987" s="5"/>
      <c r="D987" s="5"/>
      <c r="E987" s="5"/>
      <c r="F987" s="5"/>
      <c r="G987" s="5"/>
    </row>
    <row r="988">
      <c r="C988" s="5"/>
      <c r="D988" s="5"/>
      <c r="E988" s="5"/>
      <c r="F988" s="5"/>
      <c r="G988" s="5"/>
    </row>
    <row r="989">
      <c r="C989" s="5"/>
      <c r="D989" s="5"/>
      <c r="E989" s="5"/>
      <c r="F989" s="5"/>
      <c r="G989" s="5"/>
    </row>
    <row r="990">
      <c r="C990" s="5"/>
      <c r="D990" s="5"/>
      <c r="E990" s="5"/>
      <c r="F990" s="5"/>
      <c r="G990" s="5"/>
    </row>
    <row r="991">
      <c r="C991" s="5"/>
      <c r="D991" s="5"/>
      <c r="E991" s="5"/>
      <c r="F991" s="5"/>
      <c r="G991" s="5"/>
    </row>
    <row r="992">
      <c r="C992" s="5"/>
      <c r="D992" s="5"/>
      <c r="E992" s="5"/>
      <c r="F992" s="5"/>
      <c r="G992" s="5"/>
    </row>
    <row r="993">
      <c r="C993" s="5"/>
      <c r="D993" s="5"/>
      <c r="E993" s="5"/>
      <c r="F993" s="5"/>
      <c r="G993" s="5"/>
    </row>
    <row r="994">
      <c r="C994" s="5"/>
      <c r="D994" s="5"/>
      <c r="E994" s="5"/>
      <c r="F994" s="5"/>
      <c r="G994" s="5"/>
    </row>
    <row r="995">
      <c r="C995" s="5"/>
      <c r="D995" s="5"/>
      <c r="E995" s="5"/>
      <c r="F995" s="5"/>
      <c r="G995" s="5"/>
    </row>
    <row r="996">
      <c r="C996" s="5"/>
      <c r="D996" s="5"/>
      <c r="E996" s="5"/>
      <c r="F996" s="5"/>
      <c r="G996" s="5"/>
    </row>
    <row r="997">
      <c r="C997" s="5"/>
      <c r="D997" s="5"/>
      <c r="E997" s="5"/>
      <c r="F997" s="5"/>
      <c r="G997" s="5"/>
    </row>
    <row r="998">
      <c r="C998" s="5"/>
      <c r="D998" s="5"/>
      <c r="E998" s="5"/>
      <c r="F998" s="5"/>
      <c r="G998" s="5"/>
    </row>
    <row r="999">
      <c r="C999" s="5"/>
      <c r="D999" s="5"/>
      <c r="E999" s="5"/>
      <c r="F999" s="5"/>
      <c r="G999" s="5"/>
    </row>
    <row r="1000">
      <c r="C1000" s="5"/>
      <c r="D1000" s="5"/>
      <c r="E1000" s="5"/>
      <c r="F1000" s="5"/>
      <c r="G1000" s="5"/>
    </row>
  </sheetData>
  <mergeCells count="8">
    <mergeCell ref="A1:H1"/>
    <mergeCell ref="A2:H2"/>
    <mergeCell ref="A4:A5"/>
    <mergeCell ref="B4:B5"/>
    <mergeCell ref="C4:C5"/>
    <mergeCell ref="D4:D5"/>
    <mergeCell ref="E4:F4"/>
    <mergeCell ref="G4:H5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3.86"/>
    <col customWidth="1" min="3" max="3" width="18.43"/>
    <col customWidth="1" min="4" max="4" width="8.71"/>
    <col customWidth="1" min="5" max="5" width="19.43"/>
    <col customWidth="1" min="6" max="7" width="7.43"/>
    <col customWidth="1" min="8" max="8" width="20.43"/>
    <col customWidth="1" min="9" max="9" width="6.57"/>
    <col customWidth="1" min="10" max="10" width="6.43"/>
    <col customWidth="1" min="11" max="11" width="17.43"/>
    <col customWidth="1" min="12" max="13" width="8.71"/>
    <col customWidth="1" min="14" max="14" width="41.57"/>
    <col customWidth="1" min="15" max="26" width="8.71"/>
  </cols>
  <sheetData>
    <row r="1">
      <c r="A1" s="3" t="s">
        <v>323</v>
      </c>
    </row>
    <row r="2">
      <c r="A2" s="7" t="s">
        <v>7</v>
      </c>
    </row>
    <row r="3">
      <c r="C3" s="5"/>
      <c r="F3" s="5"/>
      <c r="I3" s="5"/>
    </row>
    <row r="4" ht="19.5" customHeight="1">
      <c r="A4" s="19" t="s">
        <v>15</v>
      </c>
      <c r="B4" s="19" t="s">
        <v>19</v>
      </c>
      <c r="C4" s="19" t="s">
        <v>324</v>
      </c>
      <c r="D4" s="19" t="s">
        <v>21</v>
      </c>
      <c r="E4" s="19" t="s">
        <v>325</v>
      </c>
      <c r="F4" s="165" t="s">
        <v>27</v>
      </c>
      <c r="G4" s="31"/>
      <c r="H4" s="19" t="s">
        <v>326</v>
      </c>
      <c r="I4" s="165" t="s">
        <v>27</v>
      </c>
      <c r="J4" s="31"/>
    </row>
    <row r="5" ht="19.5" customHeight="1">
      <c r="A5" s="36"/>
      <c r="B5" s="36"/>
      <c r="C5" s="36"/>
      <c r="D5" s="36"/>
      <c r="E5" s="36"/>
      <c r="F5" s="40" t="s">
        <v>327</v>
      </c>
      <c r="G5" s="40" t="s">
        <v>328</v>
      </c>
      <c r="H5" s="36"/>
      <c r="I5" s="40" t="s">
        <v>327</v>
      </c>
      <c r="J5" s="40" t="s">
        <v>328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46">
        <v>1.0</v>
      </c>
      <c r="B6" s="17" t="s">
        <v>10</v>
      </c>
      <c r="C6" s="60" t="s">
        <v>11</v>
      </c>
      <c r="D6" s="48" t="s">
        <v>12</v>
      </c>
      <c r="E6" s="53">
        <v>45627.0</v>
      </c>
      <c r="F6" s="166">
        <v>24.0</v>
      </c>
      <c r="G6" s="166">
        <v>0.0</v>
      </c>
      <c r="H6" s="53">
        <v>46357.0</v>
      </c>
      <c r="I6" s="167">
        <v>26.0</v>
      </c>
      <c r="J6" s="166">
        <v>0.0</v>
      </c>
    </row>
    <row r="7" ht="19.5" customHeight="1">
      <c r="A7" s="46">
        <v>2.0</v>
      </c>
      <c r="B7" s="17" t="s">
        <v>16</v>
      </c>
      <c r="C7" s="168" t="s">
        <v>17</v>
      </c>
      <c r="D7" s="48" t="s">
        <v>18</v>
      </c>
      <c r="E7" s="53">
        <v>44958.0</v>
      </c>
      <c r="F7" s="167">
        <v>14.0</v>
      </c>
      <c r="G7" s="166">
        <v>0.0</v>
      </c>
      <c r="H7" s="53">
        <v>45689.0</v>
      </c>
      <c r="I7" s="167">
        <v>16.0</v>
      </c>
      <c r="J7" s="169">
        <v>0.0</v>
      </c>
    </row>
    <row r="8" ht="19.5" customHeight="1">
      <c r="A8" s="46">
        <v>3.0</v>
      </c>
      <c r="B8" s="17" t="s">
        <v>88</v>
      </c>
      <c r="C8" s="60" t="s">
        <v>103</v>
      </c>
      <c r="D8" s="48" t="s">
        <v>26</v>
      </c>
      <c r="E8" s="53">
        <v>45231.0</v>
      </c>
      <c r="F8" s="167">
        <v>30.0</v>
      </c>
      <c r="G8" s="166">
        <v>0.0</v>
      </c>
      <c r="H8" s="53">
        <v>45962.0</v>
      </c>
      <c r="I8" s="167">
        <v>32.0</v>
      </c>
      <c r="J8" s="169">
        <v>0.0</v>
      </c>
    </row>
    <row r="9" ht="19.5" customHeight="1">
      <c r="A9" s="46">
        <v>4.0</v>
      </c>
      <c r="B9" s="17" t="s">
        <v>22</v>
      </c>
      <c r="C9" s="60" t="s">
        <v>24</v>
      </c>
      <c r="D9" s="48" t="s">
        <v>26</v>
      </c>
      <c r="E9" s="170">
        <v>44986.0</v>
      </c>
      <c r="F9" s="171">
        <v>26.0</v>
      </c>
      <c r="G9" s="172">
        <v>0.0</v>
      </c>
      <c r="H9" s="53">
        <v>45717.0</v>
      </c>
      <c r="I9" s="167">
        <v>28.0</v>
      </c>
      <c r="J9" s="169">
        <v>0.0</v>
      </c>
    </row>
    <row r="10" ht="19.5" customHeight="1">
      <c r="A10" s="46">
        <v>5.0</v>
      </c>
      <c r="B10" s="17" t="s">
        <v>32</v>
      </c>
      <c r="C10" s="60" t="s">
        <v>33</v>
      </c>
      <c r="D10" s="48" t="s">
        <v>26</v>
      </c>
      <c r="E10" s="53">
        <v>44986.0</v>
      </c>
      <c r="F10" s="167">
        <v>26.0</v>
      </c>
      <c r="G10" s="166">
        <v>0.0</v>
      </c>
      <c r="H10" s="53">
        <v>45717.0</v>
      </c>
      <c r="I10" s="167">
        <v>28.0</v>
      </c>
      <c r="J10" s="169">
        <v>0.0</v>
      </c>
    </row>
    <row r="11" ht="19.5" customHeight="1">
      <c r="A11" s="46">
        <v>6.0</v>
      </c>
      <c r="B11" s="17" t="s">
        <v>35</v>
      </c>
      <c r="C11" s="60" t="s">
        <v>36</v>
      </c>
      <c r="D11" s="48" t="s">
        <v>26</v>
      </c>
      <c r="E11" s="53">
        <v>44986.0</v>
      </c>
      <c r="F11" s="167">
        <v>26.0</v>
      </c>
      <c r="G11" s="166">
        <v>0.0</v>
      </c>
      <c r="H11" s="53">
        <v>46296.0</v>
      </c>
      <c r="I11" s="167">
        <v>28.0</v>
      </c>
      <c r="J11" s="169">
        <v>0.0</v>
      </c>
    </row>
    <row r="12" ht="19.5" customHeight="1">
      <c r="A12" s="46">
        <v>7.0</v>
      </c>
      <c r="B12" s="17" t="s">
        <v>39</v>
      </c>
      <c r="C12" s="60" t="s">
        <v>40</v>
      </c>
      <c r="D12" s="48" t="s">
        <v>42</v>
      </c>
      <c r="E12" s="53">
        <v>45658.0</v>
      </c>
      <c r="F12" s="171">
        <v>16.0</v>
      </c>
      <c r="G12" s="172">
        <v>0.0</v>
      </c>
      <c r="H12" s="53">
        <v>46388.0</v>
      </c>
      <c r="I12" s="167">
        <v>18.0</v>
      </c>
      <c r="J12" s="169">
        <v>0.0</v>
      </c>
    </row>
    <row r="13" ht="19.5" customHeight="1">
      <c r="A13" s="46">
        <v>8.0</v>
      </c>
      <c r="B13" s="17" t="s">
        <v>49</v>
      </c>
      <c r="C13" s="60" t="s">
        <v>50</v>
      </c>
      <c r="D13" s="48" t="s">
        <v>116</v>
      </c>
      <c r="E13" s="53">
        <v>45352.0</v>
      </c>
      <c r="F13" s="167">
        <v>20.0</v>
      </c>
      <c r="G13" s="166">
        <v>0.0</v>
      </c>
      <c r="H13" s="53">
        <v>46082.0</v>
      </c>
      <c r="I13" s="167">
        <v>22.0</v>
      </c>
      <c r="J13" s="169">
        <v>0.0</v>
      </c>
    </row>
    <row r="14" ht="19.5" customHeight="1">
      <c r="A14" s="46">
        <v>9.0</v>
      </c>
      <c r="B14" s="17" t="s">
        <v>61</v>
      </c>
      <c r="C14" s="60" t="s">
        <v>62</v>
      </c>
      <c r="D14" s="48" t="s">
        <v>63</v>
      </c>
      <c r="E14" s="53">
        <v>44563.0</v>
      </c>
      <c r="F14" s="167">
        <v>10.0</v>
      </c>
      <c r="G14" s="166">
        <v>0.0</v>
      </c>
      <c r="H14" s="53">
        <v>45293.0</v>
      </c>
      <c r="I14" s="167">
        <v>12.0</v>
      </c>
      <c r="J14" s="169">
        <v>0.0</v>
      </c>
    </row>
    <row r="15" ht="19.5" customHeight="1">
      <c r="A15" s="46">
        <v>10.0</v>
      </c>
      <c r="B15" s="17" t="s">
        <v>66</v>
      </c>
      <c r="C15" s="60" t="s">
        <v>67</v>
      </c>
      <c r="D15" s="48" t="s">
        <v>160</v>
      </c>
      <c r="E15" s="53">
        <v>45352.0</v>
      </c>
      <c r="F15" s="167">
        <v>2.0</v>
      </c>
      <c r="G15" s="166">
        <v>0.0</v>
      </c>
      <c r="H15" s="53">
        <v>46082.0</v>
      </c>
      <c r="I15" s="167">
        <v>4.0</v>
      </c>
      <c r="J15" s="169">
        <v>0.0</v>
      </c>
      <c r="N15" s="173" t="s">
        <v>329</v>
      </c>
    </row>
    <row r="16" ht="19.5" customHeight="1">
      <c r="A16" s="46">
        <v>11.0</v>
      </c>
      <c r="B16" s="17" t="s">
        <v>69</v>
      </c>
      <c r="C16" s="60" t="s">
        <v>70</v>
      </c>
      <c r="D16" s="48" t="s">
        <v>140</v>
      </c>
      <c r="E16" s="53">
        <v>45200.0</v>
      </c>
      <c r="F16" s="167">
        <v>24.0</v>
      </c>
      <c r="G16" s="172">
        <v>0.0</v>
      </c>
      <c r="H16" s="53">
        <v>45931.0</v>
      </c>
      <c r="I16" s="167">
        <v>26.0</v>
      </c>
      <c r="J16" s="169">
        <v>0.0</v>
      </c>
    </row>
    <row r="17" ht="19.5" customHeight="1">
      <c r="A17" s="46">
        <v>12.0</v>
      </c>
      <c r="B17" s="17" t="s">
        <v>72</v>
      </c>
      <c r="C17" s="60" t="s">
        <v>73</v>
      </c>
      <c r="D17" s="48" t="s">
        <v>140</v>
      </c>
      <c r="E17" s="53">
        <v>45200.0</v>
      </c>
      <c r="F17" s="167">
        <v>24.0</v>
      </c>
      <c r="G17" s="172">
        <v>0.0</v>
      </c>
      <c r="H17" s="53">
        <v>45931.0</v>
      </c>
      <c r="I17" s="167">
        <v>26.0</v>
      </c>
      <c r="J17" s="169">
        <v>0.0</v>
      </c>
    </row>
    <row r="18" ht="19.5" customHeight="1">
      <c r="A18" s="46">
        <v>13.0</v>
      </c>
      <c r="B18" s="17" t="s">
        <v>75</v>
      </c>
      <c r="C18" s="60" t="s">
        <v>76</v>
      </c>
      <c r="D18" s="48" t="s">
        <v>140</v>
      </c>
      <c r="E18" s="170">
        <v>45566.0</v>
      </c>
      <c r="F18" s="171">
        <v>26.0</v>
      </c>
      <c r="G18" s="172">
        <v>0.0</v>
      </c>
      <c r="H18" s="53">
        <v>46296.0</v>
      </c>
      <c r="I18" s="167">
        <v>28.0</v>
      </c>
      <c r="J18" s="169">
        <v>0.0</v>
      </c>
    </row>
    <row r="19" ht="19.5" customHeight="1">
      <c r="A19" s="46">
        <v>14.0</v>
      </c>
      <c r="B19" s="17" t="s">
        <v>77</v>
      </c>
      <c r="C19" s="60" t="s">
        <v>78</v>
      </c>
      <c r="D19" s="48" t="s">
        <v>140</v>
      </c>
      <c r="E19" s="53">
        <v>45566.0</v>
      </c>
      <c r="F19" s="167">
        <v>24.0</v>
      </c>
      <c r="G19" s="166">
        <v>0.0</v>
      </c>
      <c r="H19" s="53">
        <v>46296.0</v>
      </c>
      <c r="I19" s="167">
        <v>26.0</v>
      </c>
      <c r="J19" s="169">
        <v>0.0</v>
      </c>
    </row>
    <row r="20" ht="19.5" customHeight="1">
      <c r="A20" s="46">
        <v>15.0</v>
      </c>
      <c r="B20" s="17" t="s">
        <v>80</v>
      </c>
      <c r="C20" s="60" t="s">
        <v>81</v>
      </c>
      <c r="D20" s="48" t="s">
        <v>157</v>
      </c>
      <c r="E20" s="170">
        <v>45566.0</v>
      </c>
      <c r="F20" s="171">
        <v>24.0</v>
      </c>
      <c r="G20" s="172">
        <v>0.0</v>
      </c>
      <c r="H20" s="170">
        <v>46296.0</v>
      </c>
      <c r="I20" s="171">
        <v>26.0</v>
      </c>
      <c r="J20" s="174">
        <v>0.0</v>
      </c>
      <c r="K20" s="57"/>
      <c r="N20" s="175">
        <v>55918.0</v>
      </c>
    </row>
    <row r="21" ht="19.5" customHeight="1">
      <c r="A21" s="46">
        <v>16.0</v>
      </c>
      <c r="B21" s="17" t="s">
        <v>89</v>
      </c>
      <c r="C21" s="60" t="s">
        <v>90</v>
      </c>
      <c r="D21" s="48" t="s">
        <v>157</v>
      </c>
      <c r="E21" s="170">
        <v>45566.0</v>
      </c>
      <c r="F21" s="171">
        <v>24.0</v>
      </c>
      <c r="G21" s="172">
        <v>0.0</v>
      </c>
      <c r="H21" s="53">
        <v>46296.0</v>
      </c>
      <c r="I21" s="167">
        <v>26.0</v>
      </c>
      <c r="J21" s="169">
        <v>0.0</v>
      </c>
      <c r="K21" s="5"/>
      <c r="N21" s="175">
        <v>69886.0</v>
      </c>
    </row>
    <row r="22" ht="19.5" customHeight="1">
      <c r="A22" s="46">
        <v>17.0</v>
      </c>
      <c r="B22" s="17" t="s">
        <v>91</v>
      </c>
      <c r="C22" s="60" t="s">
        <v>92</v>
      </c>
      <c r="D22" s="48" t="s">
        <v>140</v>
      </c>
      <c r="E22" s="53">
        <v>45078.0</v>
      </c>
      <c r="F22" s="167">
        <v>10.0</v>
      </c>
      <c r="G22" s="166">
        <v>0.0</v>
      </c>
      <c r="H22" s="53">
        <v>45809.0</v>
      </c>
      <c r="I22" s="167">
        <v>12.0</v>
      </c>
      <c r="J22" s="169">
        <v>0.0</v>
      </c>
      <c r="N22" s="175">
        <f>SUM(N20:N21)</f>
        <v>125804</v>
      </c>
    </row>
    <row r="23" ht="19.5" customHeight="1">
      <c r="A23" s="46">
        <v>18.0</v>
      </c>
      <c r="B23" s="17" t="s">
        <v>95</v>
      </c>
      <c r="C23" s="60" t="s">
        <v>96</v>
      </c>
      <c r="D23" s="48" t="s">
        <v>98</v>
      </c>
      <c r="E23" s="53">
        <v>45200.0</v>
      </c>
      <c r="F23" s="167">
        <v>19.0</v>
      </c>
      <c r="G23" s="166">
        <v>0.0</v>
      </c>
      <c r="H23" s="53">
        <v>45931.0</v>
      </c>
      <c r="I23" s="167">
        <v>21.0</v>
      </c>
      <c r="J23" s="169">
        <v>0.0</v>
      </c>
    </row>
    <row r="24" ht="19.5" customHeight="1">
      <c r="A24" s="46">
        <v>19.0</v>
      </c>
      <c r="B24" s="17" t="s">
        <v>101</v>
      </c>
      <c r="C24" s="60" t="s">
        <v>102</v>
      </c>
      <c r="D24" s="48" t="s">
        <v>98</v>
      </c>
      <c r="E24" s="53">
        <v>44986.0</v>
      </c>
      <c r="F24" s="167">
        <v>7.0</v>
      </c>
      <c r="G24" s="166">
        <v>0.0</v>
      </c>
      <c r="H24" s="53">
        <v>45717.0</v>
      </c>
      <c r="I24" s="167">
        <v>9.0</v>
      </c>
      <c r="J24" s="169">
        <v>0.0</v>
      </c>
    </row>
    <row r="25" ht="19.5" customHeight="1">
      <c r="A25" s="46">
        <v>20.0</v>
      </c>
      <c r="B25" s="17" t="s">
        <v>107</v>
      </c>
      <c r="C25" s="60" t="s">
        <v>108</v>
      </c>
      <c r="D25" s="48" t="s">
        <v>98</v>
      </c>
      <c r="E25" s="53">
        <v>45627.0</v>
      </c>
      <c r="F25" s="167">
        <v>7.0</v>
      </c>
      <c r="G25" s="166">
        <v>0.0</v>
      </c>
      <c r="H25" s="53">
        <v>46357.0</v>
      </c>
      <c r="I25" s="167">
        <v>9.0</v>
      </c>
      <c r="J25" s="169">
        <v>0.0</v>
      </c>
    </row>
    <row r="26" ht="19.5" customHeight="1">
      <c r="A26" s="46">
        <v>21.0</v>
      </c>
      <c r="B26" s="17" t="s">
        <v>110</v>
      </c>
      <c r="C26" s="60" t="s">
        <v>112</v>
      </c>
      <c r="D26" s="48" t="s">
        <v>98</v>
      </c>
      <c r="E26" s="53">
        <v>45627.0</v>
      </c>
      <c r="F26" s="167">
        <v>7.0</v>
      </c>
      <c r="G26" s="166">
        <v>0.0</v>
      </c>
      <c r="H26" s="53">
        <v>46357.0</v>
      </c>
      <c r="I26" s="167">
        <v>9.0</v>
      </c>
      <c r="J26" s="169">
        <v>0.0</v>
      </c>
    </row>
    <row r="27" ht="19.5" customHeight="1">
      <c r="A27" s="59">
        <v>22.0</v>
      </c>
      <c r="B27" s="17" t="s">
        <v>330</v>
      </c>
      <c r="C27" s="176" t="s">
        <v>117</v>
      </c>
      <c r="D27" s="110" t="s">
        <v>236</v>
      </c>
      <c r="E27" s="53">
        <v>45292.0</v>
      </c>
      <c r="F27" s="167">
        <v>5.0</v>
      </c>
      <c r="G27" s="166">
        <v>0.0</v>
      </c>
      <c r="H27" s="53">
        <v>46023.0</v>
      </c>
      <c r="I27" s="167">
        <v>7.0</v>
      </c>
      <c r="J27" s="169">
        <v>0.0</v>
      </c>
    </row>
    <row r="28" ht="19.5" customHeight="1">
      <c r="A28" s="46">
        <v>23.0</v>
      </c>
      <c r="B28" s="17" t="s">
        <v>121</v>
      </c>
      <c r="C28" s="62" t="s">
        <v>122</v>
      </c>
      <c r="D28" s="107" t="s">
        <v>236</v>
      </c>
      <c r="E28" s="53"/>
      <c r="F28" s="167"/>
      <c r="G28" s="166"/>
      <c r="H28" s="53"/>
      <c r="I28" s="167"/>
      <c r="J28" s="16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59">
        <v>24.0</v>
      </c>
      <c r="B29" s="17" t="s">
        <v>331</v>
      </c>
      <c r="C29" s="62" t="s">
        <v>189</v>
      </c>
      <c r="D29" s="177" t="s">
        <v>332</v>
      </c>
      <c r="E29" s="178"/>
      <c r="F29" s="178"/>
      <c r="G29" s="178"/>
      <c r="H29" s="178"/>
      <c r="I29" s="178"/>
      <c r="J29" s="178"/>
    </row>
    <row r="30" ht="19.5" customHeight="1">
      <c r="A30" s="46">
        <v>25.0</v>
      </c>
      <c r="B30" s="17" t="s">
        <v>333</v>
      </c>
      <c r="C30" s="62" t="s">
        <v>186</v>
      </c>
      <c r="D30" s="179" t="s">
        <v>236</v>
      </c>
      <c r="E30" s="178"/>
      <c r="F30" s="178"/>
      <c r="G30" s="178"/>
      <c r="H30" s="178"/>
      <c r="I30" s="178"/>
      <c r="J30" s="178"/>
    </row>
    <row r="31" ht="19.5" customHeight="1">
      <c r="A31" s="59">
        <v>26.0</v>
      </c>
      <c r="B31" s="17" t="s">
        <v>334</v>
      </c>
      <c r="C31" s="62" t="s">
        <v>197</v>
      </c>
      <c r="D31" s="179" t="s">
        <v>236</v>
      </c>
      <c r="E31" s="178"/>
      <c r="F31" s="178"/>
      <c r="G31" s="178"/>
      <c r="H31" s="178"/>
      <c r="I31" s="178"/>
      <c r="J31" s="178"/>
    </row>
    <row r="32" ht="19.5" customHeight="1">
      <c r="A32" s="46">
        <v>27.0</v>
      </c>
      <c r="B32" s="17" t="s">
        <v>335</v>
      </c>
      <c r="C32" s="62" t="s">
        <v>202</v>
      </c>
      <c r="D32" s="179" t="s">
        <v>236</v>
      </c>
      <c r="E32" s="178"/>
      <c r="F32" s="178"/>
      <c r="G32" s="178"/>
      <c r="H32" s="178"/>
      <c r="I32" s="178"/>
      <c r="J32" s="178"/>
    </row>
    <row r="33" ht="19.5" customHeight="1">
      <c r="A33" s="59">
        <v>28.0</v>
      </c>
      <c r="B33" s="17" t="s">
        <v>336</v>
      </c>
      <c r="C33" s="62" t="s">
        <v>337</v>
      </c>
      <c r="D33" s="179" t="s">
        <v>236</v>
      </c>
      <c r="E33" s="178"/>
      <c r="F33" s="178"/>
      <c r="G33" s="178"/>
      <c r="H33" s="178"/>
      <c r="I33" s="178"/>
      <c r="J33" s="178"/>
    </row>
    <row r="34" ht="19.5" customHeight="1">
      <c r="A34" s="46">
        <v>29.0</v>
      </c>
      <c r="B34" s="17" t="s">
        <v>143</v>
      </c>
      <c r="C34" s="25" t="s">
        <v>338</v>
      </c>
      <c r="D34" s="179" t="s">
        <v>236</v>
      </c>
      <c r="E34" s="178"/>
      <c r="F34" s="178"/>
      <c r="G34" s="178"/>
      <c r="H34" s="178"/>
      <c r="I34" s="178"/>
      <c r="J34" s="178"/>
    </row>
    <row r="35">
      <c r="B35" s="180"/>
      <c r="C35" s="5"/>
      <c r="F35" s="5"/>
      <c r="I35" s="5"/>
    </row>
    <row r="36">
      <c r="C36" s="5"/>
      <c r="F36" s="5"/>
      <c r="I36" s="5"/>
    </row>
    <row r="37">
      <c r="C37" s="5"/>
      <c r="F37" s="5"/>
      <c r="I37" s="5"/>
    </row>
    <row r="38">
      <c r="C38" s="5"/>
      <c r="F38" s="5"/>
      <c r="I38" s="5"/>
    </row>
    <row r="39">
      <c r="C39" s="5"/>
      <c r="F39" s="5"/>
      <c r="I39" s="5"/>
    </row>
    <row r="40">
      <c r="C40" s="5"/>
      <c r="F40" s="5"/>
      <c r="I40" s="5"/>
    </row>
    <row r="41">
      <c r="C41" s="5"/>
      <c r="F41" s="5"/>
      <c r="I41" s="5"/>
    </row>
    <row r="42">
      <c r="C42" s="5"/>
      <c r="F42" s="5"/>
      <c r="I42" s="5"/>
    </row>
    <row r="43">
      <c r="C43" s="5"/>
      <c r="F43" s="5"/>
      <c r="I43" s="5"/>
    </row>
    <row r="44">
      <c r="C44" s="5"/>
      <c r="F44" s="5"/>
      <c r="I44" s="5"/>
    </row>
    <row r="45">
      <c r="C45" s="5"/>
      <c r="F45" s="5"/>
      <c r="I45" s="5"/>
    </row>
    <row r="46">
      <c r="C46" s="5"/>
      <c r="F46" s="5"/>
      <c r="I46" s="5"/>
    </row>
    <row r="47">
      <c r="C47" s="5"/>
      <c r="F47" s="5"/>
      <c r="I47" s="5"/>
    </row>
    <row r="48">
      <c r="C48" s="5"/>
      <c r="F48" s="5"/>
      <c r="I48" s="5"/>
    </row>
    <row r="49">
      <c r="C49" s="5"/>
      <c r="F49" s="5"/>
      <c r="I49" s="5"/>
    </row>
    <row r="50">
      <c r="C50" s="5"/>
      <c r="F50" s="5"/>
      <c r="I50" s="5"/>
    </row>
    <row r="51">
      <c r="C51" s="5"/>
      <c r="F51" s="5"/>
      <c r="I51" s="5"/>
    </row>
    <row r="52">
      <c r="C52" s="5"/>
      <c r="F52" s="5"/>
      <c r="I52" s="5"/>
    </row>
    <row r="53">
      <c r="C53" s="5"/>
      <c r="F53" s="5"/>
      <c r="I53" s="5"/>
    </row>
    <row r="54">
      <c r="C54" s="5"/>
      <c r="F54" s="5"/>
      <c r="I54" s="5"/>
    </row>
    <row r="55">
      <c r="C55" s="5"/>
      <c r="F55" s="5"/>
      <c r="I55" s="5"/>
    </row>
    <row r="56">
      <c r="C56" s="5"/>
      <c r="F56" s="5"/>
      <c r="I56" s="5"/>
    </row>
    <row r="57">
      <c r="C57" s="5"/>
      <c r="F57" s="5"/>
      <c r="I57" s="5"/>
    </row>
    <row r="58">
      <c r="C58" s="5"/>
      <c r="F58" s="5"/>
      <c r="I58" s="5"/>
    </row>
    <row r="59">
      <c r="C59" s="5"/>
      <c r="F59" s="5"/>
      <c r="I59" s="5"/>
    </row>
    <row r="60">
      <c r="C60" s="5"/>
      <c r="F60" s="5"/>
      <c r="I60" s="5"/>
    </row>
    <row r="61">
      <c r="C61" s="5"/>
      <c r="F61" s="5"/>
      <c r="I61" s="5"/>
    </row>
    <row r="62">
      <c r="C62" s="5"/>
      <c r="F62" s="5"/>
      <c r="I62" s="5"/>
    </row>
    <row r="63">
      <c r="C63" s="5"/>
      <c r="F63" s="5"/>
      <c r="I63" s="5"/>
    </row>
    <row r="64">
      <c r="C64" s="5"/>
      <c r="F64" s="5"/>
      <c r="I64" s="5"/>
    </row>
    <row r="65">
      <c r="C65" s="5"/>
      <c r="F65" s="5"/>
      <c r="I65" s="5"/>
    </row>
    <row r="66">
      <c r="C66" s="5"/>
      <c r="F66" s="5"/>
      <c r="I66" s="5"/>
    </row>
    <row r="67">
      <c r="C67" s="5"/>
      <c r="F67" s="5"/>
      <c r="I67" s="5"/>
    </row>
    <row r="68">
      <c r="C68" s="5"/>
      <c r="F68" s="5"/>
      <c r="I68" s="5"/>
    </row>
    <row r="69">
      <c r="C69" s="5"/>
      <c r="F69" s="5"/>
      <c r="I69" s="5"/>
    </row>
    <row r="70">
      <c r="C70" s="5"/>
      <c r="F70" s="5"/>
      <c r="I70" s="5"/>
    </row>
    <row r="71">
      <c r="C71" s="5"/>
      <c r="F71" s="5"/>
      <c r="I71" s="5"/>
    </row>
    <row r="72">
      <c r="C72" s="5"/>
      <c r="F72" s="5"/>
      <c r="I72" s="5"/>
    </row>
    <row r="73">
      <c r="C73" s="5"/>
      <c r="F73" s="5"/>
      <c r="I73" s="5"/>
    </row>
    <row r="74">
      <c r="C74" s="5"/>
      <c r="F74" s="5"/>
      <c r="I74" s="5"/>
    </row>
    <row r="75">
      <c r="C75" s="5"/>
      <c r="F75" s="5"/>
      <c r="I75" s="5"/>
    </row>
    <row r="76">
      <c r="C76" s="5"/>
      <c r="F76" s="5"/>
      <c r="I76" s="5"/>
    </row>
    <row r="77">
      <c r="C77" s="5"/>
      <c r="F77" s="5"/>
      <c r="I77" s="5"/>
    </row>
    <row r="78">
      <c r="C78" s="5"/>
      <c r="F78" s="5"/>
      <c r="I78" s="5"/>
    </row>
    <row r="79">
      <c r="C79" s="5"/>
      <c r="F79" s="5"/>
      <c r="I79" s="5"/>
    </row>
    <row r="80">
      <c r="C80" s="5"/>
      <c r="F80" s="5"/>
      <c r="I80" s="5"/>
    </row>
    <row r="81">
      <c r="C81" s="5"/>
      <c r="F81" s="5"/>
      <c r="I81" s="5"/>
    </row>
    <row r="82">
      <c r="C82" s="5"/>
      <c r="F82" s="5"/>
      <c r="I82" s="5"/>
    </row>
    <row r="83">
      <c r="C83" s="5"/>
      <c r="F83" s="5"/>
      <c r="I83" s="5"/>
    </row>
    <row r="84">
      <c r="C84" s="5"/>
      <c r="F84" s="5"/>
      <c r="I84" s="5"/>
    </row>
    <row r="85">
      <c r="C85" s="5"/>
      <c r="F85" s="5"/>
      <c r="I85" s="5"/>
    </row>
    <row r="86">
      <c r="C86" s="5"/>
      <c r="F86" s="5"/>
      <c r="I86" s="5"/>
    </row>
    <row r="87">
      <c r="C87" s="5"/>
      <c r="F87" s="5"/>
      <c r="I87" s="5"/>
    </row>
    <row r="88">
      <c r="C88" s="5"/>
      <c r="F88" s="5"/>
      <c r="I88" s="5"/>
    </row>
    <row r="89">
      <c r="C89" s="5"/>
      <c r="F89" s="5"/>
      <c r="I89" s="5"/>
    </row>
    <row r="90">
      <c r="C90" s="5"/>
      <c r="F90" s="5"/>
      <c r="I90" s="5"/>
    </row>
    <row r="91">
      <c r="C91" s="5"/>
      <c r="F91" s="5"/>
      <c r="I91" s="5"/>
    </row>
    <row r="92">
      <c r="C92" s="5"/>
      <c r="F92" s="5"/>
      <c r="I92" s="5"/>
    </row>
    <row r="93">
      <c r="C93" s="5"/>
      <c r="F93" s="5"/>
      <c r="I93" s="5"/>
    </row>
    <row r="94">
      <c r="C94" s="5"/>
      <c r="F94" s="5"/>
      <c r="I94" s="5"/>
    </row>
    <row r="95">
      <c r="C95" s="5"/>
      <c r="F95" s="5"/>
      <c r="I95" s="5"/>
    </row>
    <row r="96">
      <c r="C96" s="5"/>
      <c r="F96" s="5"/>
      <c r="I96" s="5"/>
    </row>
    <row r="97">
      <c r="C97" s="5"/>
      <c r="F97" s="5"/>
      <c r="I97" s="5"/>
    </row>
    <row r="98">
      <c r="C98" s="5"/>
      <c r="F98" s="5"/>
      <c r="I98" s="5"/>
    </row>
    <row r="99">
      <c r="C99" s="5"/>
      <c r="F99" s="5"/>
      <c r="I99" s="5"/>
    </row>
    <row r="100">
      <c r="C100" s="5"/>
      <c r="F100" s="5"/>
      <c r="I100" s="5"/>
    </row>
    <row r="101">
      <c r="C101" s="5"/>
      <c r="F101" s="5"/>
      <c r="I101" s="5"/>
    </row>
    <row r="102">
      <c r="C102" s="5"/>
      <c r="F102" s="5"/>
      <c r="I102" s="5"/>
    </row>
    <row r="103">
      <c r="C103" s="5"/>
      <c r="F103" s="5"/>
      <c r="I103" s="5"/>
    </row>
    <row r="104">
      <c r="C104" s="5"/>
      <c r="F104" s="5"/>
      <c r="I104" s="5"/>
    </row>
    <row r="105">
      <c r="C105" s="5"/>
      <c r="F105" s="5"/>
      <c r="I105" s="5"/>
    </row>
    <row r="106">
      <c r="C106" s="5"/>
      <c r="F106" s="5"/>
      <c r="I106" s="5"/>
    </row>
    <row r="107">
      <c r="C107" s="5"/>
      <c r="F107" s="5"/>
      <c r="I107" s="5"/>
    </row>
    <row r="108">
      <c r="C108" s="5"/>
      <c r="F108" s="5"/>
      <c r="I108" s="5"/>
    </row>
    <row r="109">
      <c r="C109" s="5"/>
      <c r="F109" s="5"/>
      <c r="I109" s="5"/>
    </row>
    <row r="110">
      <c r="C110" s="5"/>
      <c r="F110" s="5"/>
      <c r="I110" s="5"/>
    </row>
    <row r="111">
      <c r="C111" s="5"/>
      <c r="F111" s="5"/>
      <c r="I111" s="5"/>
    </row>
    <row r="112">
      <c r="C112" s="5"/>
      <c r="F112" s="5"/>
      <c r="I112" s="5"/>
    </row>
    <row r="113">
      <c r="C113" s="5"/>
      <c r="F113" s="5"/>
      <c r="I113" s="5"/>
    </row>
    <row r="114">
      <c r="C114" s="5"/>
      <c r="F114" s="5"/>
      <c r="I114" s="5"/>
    </row>
    <row r="115">
      <c r="C115" s="5"/>
      <c r="F115" s="5"/>
      <c r="I115" s="5"/>
    </row>
    <row r="116">
      <c r="C116" s="5"/>
      <c r="F116" s="5"/>
      <c r="I116" s="5"/>
    </row>
    <row r="117">
      <c r="C117" s="5"/>
      <c r="F117" s="5"/>
      <c r="I117" s="5"/>
    </row>
    <row r="118">
      <c r="C118" s="5"/>
      <c r="F118" s="5"/>
      <c r="I118" s="5"/>
    </row>
    <row r="119">
      <c r="C119" s="5"/>
      <c r="F119" s="5"/>
      <c r="I119" s="5"/>
    </row>
    <row r="120">
      <c r="C120" s="5"/>
      <c r="F120" s="5"/>
      <c r="I120" s="5"/>
    </row>
    <row r="121">
      <c r="C121" s="5"/>
      <c r="F121" s="5"/>
      <c r="I121" s="5"/>
    </row>
    <row r="122">
      <c r="C122" s="5"/>
      <c r="F122" s="5"/>
      <c r="I122" s="5"/>
    </row>
    <row r="123">
      <c r="C123" s="5"/>
      <c r="F123" s="5"/>
      <c r="I123" s="5"/>
    </row>
    <row r="124">
      <c r="C124" s="5"/>
      <c r="F124" s="5"/>
      <c r="I124" s="5"/>
    </row>
    <row r="125">
      <c r="C125" s="5"/>
      <c r="F125" s="5"/>
      <c r="I125" s="5"/>
    </row>
    <row r="126">
      <c r="C126" s="5"/>
      <c r="F126" s="5"/>
      <c r="I126" s="5"/>
    </row>
    <row r="127">
      <c r="C127" s="5"/>
      <c r="F127" s="5"/>
      <c r="I127" s="5"/>
    </row>
    <row r="128">
      <c r="C128" s="5"/>
      <c r="F128" s="5"/>
      <c r="I128" s="5"/>
    </row>
    <row r="129">
      <c r="C129" s="5"/>
      <c r="F129" s="5"/>
      <c r="I129" s="5"/>
    </row>
    <row r="130">
      <c r="C130" s="5"/>
      <c r="F130" s="5"/>
      <c r="I130" s="5"/>
    </row>
    <row r="131">
      <c r="C131" s="5"/>
      <c r="F131" s="5"/>
      <c r="I131" s="5"/>
    </row>
    <row r="132">
      <c r="C132" s="5"/>
      <c r="F132" s="5"/>
      <c r="I132" s="5"/>
    </row>
    <row r="133">
      <c r="C133" s="5"/>
      <c r="F133" s="5"/>
      <c r="I133" s="5"/>
    </row>
    <row r="134">
      <c r="C134" s="5"/>
      <c r="F134" s="5"/>
      <c r="I134" s="5"/>
    </row>
    <row r="135">
      <c r="C135" s="5"/>
      <c r="F135" s="5"/>
      <c r="I135" s="5"/>
    </row>
    <row r="136">
      <c r="C136" s="5"/>
      <c r="F136" s="5"/>
      <c r="I136" s="5"/>
    </row>
    <row r="137">
      <c r="C137" s="5"/>
      <c r="F137" s="5"/>
      <c r="I137" s="5"/>
    </row>
    <row r="138">
      <c r="C138" s="5"/>
      <c r="F138" s="5"/>
      <c r="I138" s="5"/>
    </row>
    <row r="139">
      <c r="C139" s="5"/>
      <c r="F139" s="5"/>
      <c r="I139" s="5"/>
    </row>
    <row r="140">
      <c r="C140" s="5"/>
      <c r="F140" s="5"/>
      <c r="I140" s="5"/>
    </row>
    <row r="141">
      <c r="C141" s="5"/>
      <c r="F141" s="5"/>
      <c r="I141" s="5"/>
    </row>
    <row r="142">
      <c r="C142" s="5"/>
      <c r="F142" s="5"/>
      <c r="I142" s="5"/>
    </row>
    <row r="143">
      <c r="C143" s="5"/>
      <c r="F143" s="5"/>
      <c r="I143" s="5"/>
    </row>
    <row r="144">
      <c r="C144" s="5"/>
      <c r="F144" s="5"/>
      <c r="I144" s="5"/>
    </row>
    <row r="145">
      <c r="C145" s="5"/>
      <c r="F145" s="5"/>
      <c r="I145" s="5"/>
    </row>
    <row r="146">
      <c r="C146" s="5"/>
      <c r="F146" s="5"/>
      <c r="I146" s="5"/>
    </row>
    <row r="147">
      <c r="C147" s="5"/>
      <c r="F147" s="5"/>
      <c r="I147" s="5"/>
    </row>
    <row r="148">
      <c r="C148" s="5"/>
      <c r="F148" s="5"/>
      <c r="I148" s="5"/>
    </row>
    <row r="149">
      <c r="C149" s="5"/>
      <c r="F149" s="5"/>
      <c r="I149" s="5"/>
    </row>
    <row r="150">
      <c r="C150" s="5"/>
      <c r="F150" s="5"/>
      <c r="I150" s="5"/>
    </row>
    <row r="151">
      <c r="C151" s="5"/>
      <c r="F151" s="5"/>
      <c r="I151" s="5"/>
    </row>
    <row r="152">
      <c r="C152" s="5"/>
      <c r="F152" s="5"/>
      <c r="I152" s="5"/>
    </row>
    <row r="153">
      <c r="C153" s="5"/>
      <c r="F153" s="5"/>
      <c r="I153" s="5"/>
    </row>
    <row r="154">
      <c r="C154" s="5"/>
      <c r="F154" s="5"/>
      <c r="I154" s="5"/>
    </row>
    <row r="155">
      <c r="C155" s="5"/>
      <c r="F155" s="5"/>
      <c r="I155" s="5"/>
    </row>
    <row r="156">
      <c r="C156" s="5"/>
      <c r="F156" s="5"/>
      <c r="I156" s="5"/>
    </row>
    <row r="157">
      <c r="C157" s="5"/>
      <c r="F157" s="5"/>
      <c r="I157" s="5"/>
    </row>
    <row r="158">
      <c r="C158" s="5"/>
      <c r="F158" s="5"/>
      <c r="I158" s="5"/>
    </row>
    <row r="159">
      <c r="C159" s="5"/>
      <c r="F159" s="5"/>
      <c r="I159" s="5"/>
    </row>
    <row r="160">
      <c r="C160" s="5"/>
      <c r="F160" s="5"/>
      <c r="I160" s="5"/>
    </row>
    <row r="161">
      <c r="C161" s="5"/>
      <c r="F161" s="5"/>
      <c r="I161" s="5"/>
    </row>
    <row r="162">
      <c r="C162" s="5"/>
      <c r="F162" s="5"/>
      <c r="I162" s="5"/>
    </row>
    <row r="163">
      <c r="C163" s="5"/>
      <c r="F163" s="5"/>
      <c r="I163" s="5"/>
    </row>
    <row r="164">
      <c r="C164" s="5"/>
      <c r="F164" s="5"/>
      <c r="I164" s="5"/>
    </row>
    <row r="165">
      <c r="C165" s="5"/>
      <c r="F165" s="5"/>
      <c r="I165" s="5"/>
    </row>
    <row r="166">
      <c r="C166" s="5"/>
      <c r="F166" s="5"/>
      <c r="I166" s="5"/>
    </row>
    <row r="167">
      <c r="C167" s="5"/>
      <c r="F167" s="5"/>
      <c r="I167" s="5"/>
    </row>
    <row r="168">
      <c r="C168" s="5"/>
      <c r="F168" s="5"/>
      <c r="I168" s="5"/>
    </row>
    <row r="169">
      <c r="C169" s="5"/>
      <c r="F169" s="5"/>
      <c r="I169" s="5"/>
    </row>
    <row r="170">
      <c r="C170" s="5"/>
      <c r="F170" s="5"/>
      <c r="I170" s="5"/>
    </row>
    <row r="171">
      <c r="C171" s="5"/>
      <c r="F171" s="5"/>
      <c r="I171" s="5"/>
    </row>
    <row r="172">
      <c r="C172" s="5"/>
      <c r="F172" s="5"/>
      <c r="I172" s="5"/>
    </row>
    <row r="173">
      <c r="C173" s="5"/>
      <c r="F173" s="5"/>
      <c r="I173" s="5"/>
    </row>
    <row r="174">
      <c r="C174" s="5"/>
      <c r="F174" s="5"/>
      <c r="I174" s="5"/>
    </row>
    <row r="175">
      <c r="C175" s="5"/>
      <c r="F175" s="5"/>
      <c r="I175" s="5"/>
    </row>
    <row r="176">
      <c r="C176" s="5"/>
      <c r="F176" s="5"/>
      <c r="I176" s="5"/>
    </row>
    <row r="177">
      <c r="C177" s="5"/>
      <c r="F177" s="5"/>
      <c r="I177" s="5"/>
    </row>
    <row r="178">
      <c r="C178" s="5"/>
      <c r="F178" s="5"/>
      <c r="I178" s="5"/>
    </row>
    <row r="179">
      <c r="C179" s="5"/>
      <c r="F179" s="5"/>
      <c r="I179" s="5"/>
    </row>
    <row r="180">
      <c r="C180" s="5"/>
      <c r="F180" s="5"/>
      <c r="I180" s="5"/>
    </row>
    <row r="181">
      <c r="C181" s="5"/>
      <c r="F181" s="5"/>
      <c r="I181" s="5"/>
    </row>
    <row r="182">
      <c r="C182" s="5"/>
      <c r="F182" s="5"/>
      <c r="I182" s="5"/>
    </row>
    <row r="183">
      <c r="C183" s="5"/>
      <c r="F183" s="5"/>
      <c r="I183" s="5"/>
    </row>
    <row r="184">
      <c r="C184" s="5"/>
      <c r="F184" s="5"/>
      <c r="I184" s="5"/>
    </row>
    <row r="185">
      <c r="C185" s="5"/>
      <c r="F185" s="5"/>
      <c r="I185" s="5"/>
    </row>
    <row r="186">
      <c r="C186" s="5"/>
      <c r="F186" s="5"/>
      <c r="I186" s="5"/>
    </row>
    <row r="187">
      <c r="C187" s="5"/>
      <c r="F187" s="5"/>
      <c r="I187" s="5"/>
    </row>
    <row r="188">
      <c r="C188" s="5"/>
      <c r="F188" s="5"/>
      <c r="I188" s="5"/>
    </row>
    <row r="189">
      <c r="C189" s="5"/>
      <c r="F189" s="5"/>
      <c r="I189" s="5"/>
    </row>
    <row r="190">
      <c r="C190" s="5"/>
      <c r="F190" s="5"/>
      <c r="I190" s="5"/>
    </row>
    <row r="191">
      <c r="C191" s="5"/>
      <c r="F191" s="5"/>
      <c r="I191" s="5"/>
    </row>
    <row r="192">
      <c r="C192" s="5"/>
      <c r="F192" s="5"/>
      <c r="I192" s="5"/>
    </row>
    <row r="193">
      <c r="C193" s="5"/>
      <c r="F193" s="5"/>
      <c r="I193" s="5"/>
    </row>
    <row r="194">
      <c r="C194" s="5"/>
      <c r="F194" s="5"/>
      <c r="I194" s="5"/>
    </row>
    <row r="195">
      <c r="C195" s="5"/>
      <c r="F195" s="5"/>
      <c r="I195" s="5"/>
    </row>
    <row r="196">
      <c r="C196" s="5"/>
      <c r="F196" s="5"/>
      <c r="I196" s="5"/>
    </row>
    <row r="197">
      <c r="C197" s="5"/>
      <c r="F197" s="5"/>
      <c r="I197" s="5"/>
    </row>
    <row r="198">
      <c r="C198" s="5"/>
      <c r="F198" s="5"/>
      <c r="I198" s="5"/>
    </row>
    <row r="199">
      <c r="C199" s="5"/>
      <c r="F199" s="5"/>
      <c r="I199" s="5"/>
    </row>
    <row r="200">
      <c r="C200" s="5"/>
      <c r="F200" s="5"/>
      <c r="I200" s="5"/>
    </row>
    <row r="201">
      <c r="C201" s="5"/>
      <c r="F201" s="5"/>
      <c r="I201" s="5"/>
    </row>
    <row r="202">
      <c r="C202" s="5"/>
      <c r="F202" s="5"/>
      <c r="I202" s="5"/>
    </row>
    <row r="203">
      <c r="C203" s="5"/>
      <c r="F203" s="5"/>
      <c r="I203" s="5"/>
    </row>
    <row r="204">
      <c r="C204" s="5"/>
      <c r="F204" s="5"/>
      <c r="I204" s="5"/>
    </row>
    <row r="205">
      <c r="C205" s="5"/>
      <c r="F205" s="5"/>
      <c r="I205" s="5"/>
    </row>
    <row r="206">
      <c r="C206" s="5"/>
      <c r="F206" s="5"/>
      <c r="I206" s="5"/>
    </row>
    <row r="207">
      <c r="C207" s="5"/>
      <c r="F207" s="5"/>
      <c r="I207" s="5"/>
    </row>
    <row r="208">
      <c r="C208" s="5"/>
      <c r="F208" s="5"/>
      <c r="I208" s="5"/>
    </row>
    <row r="209">
      <c r="C209" s="5"/>
      <c r="F209" s="5"/>
      <c r="I209" s="5"/>
    </row>
    <row r="210">
      <c r="C210" s="5"/>
      <c r="F210" s="5"/>
      <c r="I210" s="5"/>
    </row>
    <row r="211">
      <c r="C211" s="5"/>
      <c r="F211" s="5"/>
      <c r="I211" s="5"/>
    </row>
    <row r="212">
      <c r="C212" s="5"/>
      <c r="F212" s="5"/>
      <c r="I212" s="5"/>
    </row>
    <row r="213">
      <c r="C213" s="5"/>
      <c r="F213" s="5"/>
      <c r="I213" s="5"/>
    </row>
    <row r="214">
      <c r="C214" s="5"/>
      <c r="F214" s="5"/>
      <c r="I214" s="5"/>
    </row>
    <row r="215">
      <c r="C215" s="5"/>
      <c r="F215" s="5"/>
      <c r="I215" s="5"/>
    </row>
    <row r="216">
      <c r="C216" s="5"/>
      <c r="F216" s="5"/>
      <c r="I216" s="5"/>
    </row>
    <row r="217">
      <c r="C217" s="5"/>
      <c r="F217" s="5"/>
      <c r="I217" s="5"/>
    </row>
    <row r="218">
      <c r="C218" s="5"/>
      <c r="F218" s="5"/>
      <c r="I218" s="5"/>
    </row>
    <row r="219">
      <c r="C219" s="5"/>
      <c r="F219" s="5"/>
      <c r="I219" s="5"/>
    </row>
    <row r="220">
      <c r="C220" s="5"/>
      <c r="F220" s="5"/>
      <c r="I220" s="5"/>
    </row>
    <row r="221">
      <c r="C221" s="5"/>
      <c r="F221" s="5"/>
      <c r="I221" s="5"/>
    </row>
    <row r="222">
      <c r="C222" s="5"/>
      <c r="F222" s="5"/>
      <c r="I222" s="5"/>
    </row>
    <row r="223">
      <c r="C223" s="5"/>
      <c r="F223" s="5"/>
      <c r="I223" s="5"/>
    </row>
    <row r="224">
      <c r="C224" s="5"/>
      <c r="F224" s="5"/>
      <c r="I224" s="5"/>
    </row>
    <row r="225">
      <c r="C225" s="5"/>
      <c r="F225" s="5"/>
      <c r="I225" s="5"/>
    </row>
    <row r="226">
      <c r="C226" s="5"/>
      <c r="F226" s="5"/>
      <c r="I226" s="5"/>
    </row>
    <row r="227">
      <c r="C227" s="5"/>
      <c r="F227" s="5"/>
      <c r="I227" s="5"/>
    </row>
    <row r="228">
      <c r="C228" s="5"/>
      <c r="F228" s="5"/>
      <c r="I228" s="5"/>
    </row>
    <row r="229">
      <c r="C229" s="5"/>
      <c r="F229" s="5"/>
      <c r="I229" s="5"/>
    </row>
    <row r="230">
      <c r="C230" s="5"/>
      <c r="F230" s="5"/>
      <c r="I230" s="5"/>
    </row>
    <row r="231">
      <c r="C231" s="5"/>
      <c r="F231" s="5"/>
      <c r="I231" s="5"/>
    </row>
    <row r="232">
      <c r="C232" s="5"/>
      <c r="F232" s="5"/>
      <c r="I232" s="5"/>
    </row>
    <row r="233">
      <c r="C233" s="5"/>
      <c r="F233" s="5"/>
      <c r="I233" s="5"/>
    </row>
    <row r="234">
      <c r="C234" s="5"/>
      <c r="F234" s="5"/>
      <c r="I234" s="5"/>
    </row>
    <row r="235">
      <c r="C235" s="5"/>
      <c r="F235" s="5"/>
      <c r="I235" s="5"/>
    </row>
    <row r="236">
      <c r="C236" s="5"/>
      <c r="F236" s="5"/>
      <c r="I236" s="5"/>
    </row>
    <row r="237">
      <c r="C237" s="5"/>
      <c r="F237" s="5"/>
      <c r="I237" s="5"/>
    </row>
    <row r="238">
      <c r="C238" s="5"/>
      <c r="F238" s="5"/>
      <c r="I238" s="5"/>
    </row>
    <row r="239">
      <c r="C239" s="5"/>
      <c r="F239" s="5"/>
      <c r="I239" s="5"/>
    </row>
    <row r="240">
      <c r="C240" s="5"/>
      <c r="F240" s="5"/>
      <c r="I240" s="5"/>
    </row>
    <row r="241">
      <c r="C241" s="5"/>
      <c r="F241" s="5"/>
      <c r="I241" s="5"/>
    </row>
    <row r="242">
      <c r="C242" s="5"/>
      <c r="F242" s="5"/>
      <c r="I242" s="5"/>
    </row>
    <row r="243">
      <c r="C243" s="5"/>
      <c r="F243" s="5"/>
      <c r="I243" s="5"/>
    </row>
    <row r="244">
      <c r="C244" s="5"/>
      <c r="F244" s="5"/>
      <c r="I244" s="5"/>
    </row>
    <row r="245">
      <c r="C245" s="5"/>
      <c r="F245" s="5"/>
      <c r="I245" s="5"/>
    </row>
    <row r="246">
      <c r="C246" s="5"/>
      <c r="F246" s="5"/>
      <c r="I246" s="5"/>
    </row>
    <row r="247">
      <c r="C247" s="5"/>
      <c r="F247" s="5"/>
      <c r="I247" s="5"/>
    </row>
    <row r="248">
      <c r="C248" s="5"/>
      <c r="F248" s="5"/>
      <c r="I248" s="5"/>
    </row>
    <row r="249">
      <c r="C249" s="5"/>
      <c r="F249" s="5"/>
      <c r="I249" s="5"/>
    </row>
    <row r="250">
      <c r="C250" s="5"/>
      <c r="F250" s="5"/>
      <c r="I250" s="5"/>
    </row>
    <row r="251">
      <c r="C251" s="5"/>
      <c r="F251" s="5"/>
      <c r="I251" s="5"/>
    </row>
    <row r="252">
      <c r="C252" s="5"/>
      <c r="F252" s="5"/>
      <c r="I252" s="5"/>
    </row>
    <row r="253">
      <c r="C253" s="5"/>
      <c r="F253" s="5"/>
      <c r="I253" s="5"/>
    </row>
    <row r="254">
      <c r="C254" s="5"/>
      <c r="F254" s="5"/>
      <c r="I254" s="5"/>
    </row>
    <row r="255">
      <c r="C255" s="5"/>
      <c r="F255" s="5"/>
      <c r="I255" s="5"/>
    </row>
    <row r="256">
      <c r="C256" s="5"/>
      <c r="F256" s="5"/>
      <c r="I256" s="5"/>
    </row>
    <row r="257">
      <c r="C257" s="5"/>
      <c r="F257" s="5"/>
      <c r="I257" s="5"/>
    </row>
    <row r="258">
      <c r="C258" s="5"/>
      <c r="F258" s="5"/>
      <c r="I258" s="5"/>
    </row>
    <row r="259">
      <c r="C259" s="5"/>
      <c r="F259" s="5"/>
      <c r="I259" s="5"/>
    </row>
    <row r="260">
      <c r="C260" s="5"/>
      <c r="F260" s="5"/>
      <c r="I260" s="5"/>
    </row>
    <row r="261">
      <c r="C261" s="5"/>
      <c r="F261" s="5"/>
      <c r="I261" s="5"/>
    </row>
    <row r="262">
      <c r="C262" s="5"/>
      <c r="F262" s="5"/>
      <c r="I262" s="5"/>
    </row>
    <row r="263">
      <c r="C263" s="5"/>
      <c r="F263" s="5"/>
      <c r="I263" s="5"/>
    </row>
    <row r="264">
      <c r="C264" s="5"/>
      <c r="F264" s="5"/>
      <c r="I264" s="5"/>
    </row>
    <row r="265">
      <c r="C265" s="5"/>
      <c r="F265" s="5"/>
      <c r="I265" s="5"/>
    </row>
    <row r="266">
      <c r="C266" s="5"/>
      <c r="F266" s="5"/>
      <c r="I266" s="5"/>
    </row>
    <row r="267">
      <c r="C267" s="5"/>
      <c r="F267" s="5"/>
      <c r="I267" s="5"/>
    </row>
    <row r="268">
      <c r="C268" s="5"/>
      <c r="F268" s="5"/>
      <c r="I268" s="5"/>
    </row>
    <row r="269">
      <c r="C269" s="5"/>
      <c r="F269" s="5"/>
      <c r="I269" s="5"/>
    </row>
    <row r="270">
      <c r="C270" s="5"/>
      <c r="F270" s="5"/>
      <c r="I270" s="5"/>
    </row>
    <row r="271">
      <c r="C271" s="5"/>
      <c r="F271" s="5"/>
      <c r="I271" s="5"/>
    </row>
    <row r="272">
      <c r="C272" s="5"/>
      <c r="F272" s="5"/>
      <c r="I272" s="5"/>
    </row>
    <row r="273">
      <c r="C273" s="5"/>
      <c r="F273" s="5"/>
      <c r="I273" s="5"/>
    </row>
    <row r="274">
      <c r="C274" s="5"/>
      <c r="F274" s="5"/>
      <c r="I274" s="5"/>
    </row>
    <row r="275">
      <c r="C275" s="5"/>
      <c r="F275" s="5"/>
      <c r="I275" s="5"/>
    </row>
    <row r="276">
      <c r="C276" s="5"/>
      <c r="F276" s="5"/>
      <c r="I276" s="5"/>
    </row>
    <row r="277">
      <c r="C277" s="5"/>
      <c r="F277" s="5"/>
      <c r="I277" s="5"/>
    </row>
    <row r="278">
      <c r="C278" s="5"/>
      <c r="F278" s="5"/>
      <c r="I278" s="5"/>
    </row>
    <row r="279">
      <c r="C279" s="5"/>
      <c r="F279" s="5"/>
      <c r="I279" s="5"/>
    </row>
    <row r="280">
      <c r="C280" s="5"/>
      <c r="F280" s="5"/>
      <c r="I280" s="5"/>
    </row>
    <row r="281">
      <c r="C281" s="5"/>
      <c r="F281" s="5"/>
      <c r="I281" s="5"/>
    </row>
    <row r="282">
      <c r="C282" s="5"/>
      <c r="F282" s="5"/>
      <c r="I282" s="5"/>
    </row>
    <row r="283">
      <c r="C283" s="5"/>
      <c r="F283" s="5"/>
      <c r="I283" s="5"/>
    </row>
    <row r="284">
      <c r="C284" s="5"/>
      <c r="F284" s="5"/>
      <c r="I284" s="5"/>
    </row>
    <row r="285">
      <c r="C285" s="5"/>
      <c r="F285" s="5"/>
      <c r="I285" s="5"/>
    </row>
    <row r="286">
      <c r="C286" s="5"/>
      <c r="F286" s="5"/>
      <c r="I286" s="5"/>
    </row>
    <row r="287">
      <c r="C287" s="5"/>
      <c r="F287" s="5"/>
      <c r="I287" s="5"/>
    </row>
    <row r="288">
      <c r="C288" s="5"/>
      <c r="F288" s="5"/>
      <c r="I288" s="5"/>
    </row>
    <row r="289">
      <c r="C289" s="5"/>
      <c r="F289" s="5"/>
      <c r="I289" s="5"/>
    </row>
    <row r="290">
      <c r="C290" s="5"/>
      <c r="F290" s="5"/>
      <c r="I290" s="5"/>
    </row>
    <row r="291">
      <c r="C291" s="5"/>
      <c r="F291" s="5"/>
      <c r="I291" s="5"/>
    </row>
    <row r="292">
      <c r="C292" s="5"/>
      <c r="F292" s="5"/>
      <c r="I292" s="5"/>
    </row>
    <row r="293">
      <c r="C293" s="5"/>
      <c r="F293" s="5"/>
      <c r="I293" s="5"/>
    </row>
    <row r="294">
      <c r="C294" s="5"/>
      <c r="F294" s="5"/>
      <c r="I294" s="5"/>
    </row>
    <row r="295">
      <c r="C295" s="5"/>
      <c r="F295" s="5"/>
      <c r="I295" s="5"/>
    </row>
    <row r="296">
      <c r="C296" s="5"/>
      <c r="F296" s="5"/>
      <c r="I296" s="5"/>
    </row>
    <row r="297">
      <c r="C297" s="5"/>
      <c r="F297" s="5"/>
      <c r="I297" s="5"/>
    </row>
    <row r="298">
      <c r="C298" s="5"/>
      <c r="F298" s="5"/>
      <c r="I298" s="5"/>
    </row>
    <row r="299">
      <c r="C299" s="5"/>
      <c r="F299" s="5"/>
      <c r="I299" s="5"/>
    </row>
    <row r="300">
      <c r="C300" s="5"/>
      <c r="F300" s="5"/>
      <c r="I300" s="5"/>
    </row>
    <row r="301">
      <c r="C301" s="5"/>
      <c r="F301" s="5"/>
      <c r="I301" s="5"/>
    </row>
    <row r="302">
      <c r="C302" s="5"/>
      <c r="F302" s="5"/>
      <c r="I302" s="5"/>
    </row>
    <row r="303">
      <c r="C303" s="5"/>
      <c r="F303" s="5"/>
      <c r="I303" s="5"/>
    </row>
    <row r="304">
      <c r="C304" s="5"/>
      <c r="F304" s="5"/>
      <c r="I304" s="5"/>
    </row>
    <row r="305">
      <c r="C305" s="5"/>
      <c r="F305" s="5"/>
      <c r="I305" s="5"/>
    </row>
    <row r="306">
      <c r="C306" s="5"/>
      <c r="F306" s="5"/>
      <c r="I306" s="5"/>
    </row>
    <row r="307">
      <c r="C307" s="5"/>
      <c r="F307" s="5"/>
      <c r="I307" s="5"/>
    </row>
    <row r="308">
      <c r="C308" s="5"/>
      <c r="F308" s="5"/>
      <c r="I308" s="5"/>
    </row>
    <row r="309">
      <c r="C309" s="5"/>
      <c r="F309" s="5"/>
      <c r="I309" s="5"/>
    </row>
    <row r="310">
      <c r="C310" s="5"/>
      <c r="F310" s="5"/>
      <c r="I310" s="5"/>
    </row>
    <row r="311">
      <c r="C311" s="5"/>
      <c r="F311" s="5"/>
      <c r="I311" s="5"/>
    </row>
    <row r="312">
      <c r="C312" s="5"/>
      <c r="F312" s="5"/>
      <c r="I312" s="5"/>
    </row>
    <row r="313">
      <c r="C313" s="5"/>
      <c r="F313" s="5"/>
      <c r="I313" s="5"/>
    </row>
    <row r="314">
      <c r="C314" s="5"/>
      <c r="F314" s="5"/>
      <c r="I314" s="5"/>
    </row>
    <row r="315">
      <c r="C315" s="5"/>
      <c r="F315" s="5"/>
      <c r="I315" s="5"/>
    </row>
    <row r="316">
      <c r="C316" s="5"/>
      <c r="F316" s="5"/>
      <c r="I316" s="5"/>
    </row>
    <row r="317">
      <c r="C317" s="5"/>
      <c r="F317" s="5"/>
      <c r="I317" s="5"/>
    </row>
    <row r="318">
      <c r="C318" s="5"/>
      <c r="F318" s="5"/>
      <c r="I318" s="5"/>
    </row>
    <row r="319">
      <c r="C319" s="5"/>
      <c r="F319" s="5"/>
      <c r="I319" s="5"/>
    </row>
    <row r="320">
      <c r="C320" s="5"/>
      <c r="F320" s="5"/>
      <c r="I320" s="5"/>
    </row>
    <row r="321">
      <c r="C321" s="5"/>
      <c r="F321" s="5"/>
      <c r="I321" s="5"/>
    </row>
    <row r="322">
      <c r="C322" s="5"/>
      <c r="F322" s="5"/>
      <c r="I322" s="5"/>
    </row>
    <row r="323">
      <c r="C323" s="5"/>
      <c r="F323" s="5"/>
      <c r="I323" s="5"/>
    </row>
    <row r="324">
      <c r="C324" s="5"/>
      <c r="F324" s="5"/>
      <c r="I324" s="5"/>
    </row>
    <row r="325">
      <c r="C325" s="5"/>
      <c r="F325" s="5"/>
      <c r="I325" s="5"/>
    </row>
    <row r="326">
      <c r="C326" s="5"/>
      <c r="F326" s="5"/>
      <c r="I326" s="5"/>
    </row>
    <row r="327">
      <c r="C327" s="5"/>
      <c r="F327" s="5"/>
      <c r="I327" s="5"/>
    </row>
    <row r="328">
      <c r="C328" s="5"/>
      <c r="F328" s="5"/>
      <c r="I328" s="5"/>
    </row>
    <row r="329">
      <c r="C329" s="5"/>
      <c r="F329" s="5"/>
      <c r="I329" s="5"/>
    </row>
    <row r="330">
      <c r="C330" s="5"/>
      <c r="F330" s="5"/>
      <c r="I330" s="5"/>
    </row>
    <row r="331">
      <c r="C331" s="5"/>
      <c r="F331" s="5"/>
      <c r="I331" s="5"/>
    </row>
    <row r="332">
      <c r="C332" s="5"/>
      <c r="F332" s="5"/>
      <c r="I332" s="5"/>
    </row>
    <row r="333">
      <c r="C333" s="5"/>
      <c r="F333" s="5"/>
      <c r="I333" s="5"/>
    </row>
    <row r="334">
      <c r="C334" s="5"/>
      <c r="F334" s="5"/>
      <c r="I334" s="5"/>
    </row>
    <row r="335">
      <c r="C335" s="5"/>
      <c r="F335" s="5"/>
      <c r="I335" s="5"/>
    </row>
    <row r="336">
      <c r="C336" s="5"/>
      <c r="F336" s="5"/>
      <c r="I336" s="5"/>
    </row>
    <row r="337">
      <c r="C337" s="5"/>
      <c r="F337" s="5"/>
      <c r="I337" s="5"/>
    </row>
    <row r="338">
      <c r="C338" s="5"/>
      <c r="F338" s="5"/>
      <c r="I338" s="5"/>
    </row>
    <row r="339">
      <c r="C339" s="5"/>
      <c r="F339" s="5"/>
      <c r="I339" s="5"/>
    </row>
    <row r="340">
      <c r="C340" s="5"/>
      <c r="F340" s="5"/>
      <c r="I340" s="5"/>
    </row>
    <row r="341">
      <c r="C341" s="5"/>
      <c r="F341" s="5"/>
      <c r="I341" s="5"/>
    </row>
    <row r="342">
      <c r="C342" s="5"/>
      <c r="F342" s="5"/>
      <c r="I342" s="5"/>
    </row>
    <row r="343">
      <c r="C343" s="5"/>
      <c r="F343" s="5"/>
      <c r="I343" s="5"/>
    </row>
    <row r="344">
      <c r="C344" s="5"/>
      <c r="F344" s="5"/>
      <c r="I344" s="5"/>
    </row>
    <row r="345">
      <c r="C345" s="5"/>
      <c r="F345" s="5"/>
      <c r="I345" s="5"/>
    </row>
    <row r="346">
      <c r="C346" s="5"/>
      <c r="F346" s="5"/>
      <c r="I346" s="5"/>
    </row>
    <row r="347">
      <c r="C347" s="5"/>
      <c r="F347" s="5"/>
      <c r="I347" s="5"/>
    </row>
    <row r="348">
      <c r="C348" s="5"/>
      <c r="F348" s="5"/>
      <c r="I348" s="5"/>
    </row>
    <row r="349">
      <c r="C349" s="5"/>
      <c r="F349" s="5"/>
      <c r="I349" s="5"/>
    </row>
    <row r="350">
      <c r="C350" s="5"/>
      <c r="F350" s="5"/>
      <c r="I350" s="5"/>
    </row>
    <row r="351">
      <c r="C351" s="5"/>
      <c r="F351" s="5"/>
      <c r="I351" s="5"/>
    </row>
    <row r="352">
      <c r="C352" s="5"/>
      <c r="F352" s="5"/>
      <c r="I352" s="5"/>
    </row>
    <row r="353">
      <c r="C353" s="5"/>
      <c r="F353" s="5"/>
      <c r="I353" s="5"/>
    </row>
    <row r="354">
      <c r="C354" s="5"/>
      <c r="F354" s="5"/>
      <c r="I354" s="5"/>
    </row>
    <row r="355">
      <c r="C355" s="5"/>
      <c r="F355" s="5"/>
      <c r="I355" s="5"/>
    </row>
    <row r="356">
      <c r="C356" s="5"/>
      <c r="F356" s="5"/>
      <c r="I356" s="5"/>
    </row>
    <row r="357">
      <c r="C357" s="5"/>
      <c r="F357" s="5"/>
      <c r="I357" s="5"/>
    </row>
    <row r="358">
      <c r="C358" s="5"/>
      <c r="F358" s="5"/>
      <c r="I358" s="5"/>
    </row>
    <row r="359">
      <c r="C359" s="5"/>
      <c r="F359" s="5"/>
      <c r="I359" s="5"/>
    </row>
    <row r="360">
      <c r="C360" s="5"/>
      <c r="F360" s="5"/>
      <c r="I360" s="5"/>
    </row>
    <row r="361">
      <c r="C361" s="5"/>
      <c r="F361" s="5"/>
      <c r="I361" s="5"/>
    </row>
    <row r="362">
      <c r="C362" s="5"/>
      <c r="F362" s="5"/>
      <c r="I362" s="5"/>
    </row>
    <row r="363">
      <c r="C363" s="5"/>
      <c r="F363" s="5"/>
      <c r="I363" s="5"/>
    </row>
    <row r="364">
      <c r="C364" s="5"/>
      <c r="F364" s="5"/>
      <c r="I364" s="5"/>
    </row>
    <row r="365">
      <c r="C365" s="5"/>
      <c r="F365" s="5"/>
      <c r="I365" s="5"/>
    </row>
    <row r="366">
      <c r="C366" s="5"/>
      <c r="F366" s="5"/>
      <c r="I366" s="5"/>
    </row>
    <row r="367">
      <c r="C367" s="5"/>
      <c r="F367" s="5"/>
      <c r="I367" s="5"/>
    </row>
    <row r="368">
      <c r="C368" s="5"/>
      <c r="F368" s="5"/>
      <c r="I368" s="5"/>
    </row>
    <row r="369">
      <c r="C369" s="5"/>
      <c r="F369" s="5"/>
      <c r="I369" s="5"/>
    </row>
    <row r="370">
      <c r="C370" s="5"/>
      <c r="F370" s="5"/>
      <c r="I370" s="5"/>
    </row>
    <row r="371">
      <c r="C371" s="5"/>
      <c r="F371" s="5"/>
      <c r="I371" s="5"/>
    </row>
    <row r="372">
      <c r="C372" s="5"/>
      <c r="F372" s="5"/>
      <c r="I372" s="5"/>
    </row>
    <row r="373">
      <c r="C373" s="5"/>
      <c r="F373" s="5"/>
      <c r="I373" s="5"/>
    </row>
    <row r="374">
      <c r="C374" s="5"/>
      <c r="F374" s="5"/>
      <c r="I374" s="5"/>
    </row>
    <row r="375">
      <c r="C375" s="5"/>
      <c r="F375" s="5"/>
      <c r="I375" s="5"/>
    </row>
    <row r="376">
      <c r="C376" s="5"/>
      <c r="F376" s="5"/>
      <c r="I376" s="5"/>
    </row>
    <row r="377">
      <c r="C377" s="5"/>
      <c r="F377" s="5"/>
      <c r="I377" s="5"/>
    </row>
    <row r="378">
      <c r="C378" s="5"/>
      <c r="F378" s="5"/>
      <c r="I378" s="5"/>
    </row>
    <row r="379">
      <c r="C379" s="5"/>
      <c r="F379" s="5"/>
      <c r="I379" s="5"/>
    </row>
    <row r="380">
      <c r="C380" s="5"/>
      <c r="F380" s="5"/>
      <c r="I380" s="5"/>
    </row>
    <row r="381">
      <c r="C381" s="5"/>
      <c r="F381" s="5"/>
      <c r="I381" s="5"/>
    </row>
    <row r="382">
      <c r="C382" s="5"/>
      <c r="F382" s="5"/>
      <c r="I382" s="5"/>
    </row>
    <row r="383">
      <c r="C383" s="5"/>
      <c r="F383" s="5"/>
      <c r="I383" s="5"/>
    </row>
    <row r="384">
      <c r="C384" s="5"/>
      <c r="F384" s="5"/>
      <c r="I384" s="5"/>
    </row>
    <row r="385">
      <c r="C385" s="5"/>
      <c r="F385" s="5"/>
      <c r="I385" s="5"/>
    </row>
    <row r="386">
      <c r="C386" s="5"/>
      <c r="F386" s="5"/>
      <c r="I386" s="5"/>
    </row>
    <row r="387">
      <c r="C387" s="5"/>
      <c r="F387" s="5"/>
      <c r="I387" s="5"/>
    </row>
    <row r="388">
      <c r="C388" s="5"/>
      <c r="F388" s="5"/>
      <c r="I388" s="5"/>
    </row>
    <row r="389">
      <c r="C389" s="5"/>
      <c r="F389" s="5"/>
      <c r="I389" s="5"/>
    </row>
    <row r="390">
      <c r="C390" s="5"/>
      <c r="F390" s="5"/>
      <c r="I390" s="5"/>
    </row>
    <row r="391">
      <c r="C391" s="5"/>
      <c r="F391" s="5"/>
      <c r="I391" s="5"/>
    </row>
    <row r="392">
      <c r="C392" s="5"/>
      <c r="F392" s="5"/>
      <c r="I392" s="5"/>
    </row>
    <row r="393">
      <c r="C393" s="5"/>
      <c r="F393" s="5"/>
      <c r="I393" s="5"/>
    </row>
    <row r="394">
      <c r="C394" s="5"/>
      <c r="F394" s="5"/>
      <c r="I394" s="5"/>
    </row>
    <row r="395">
      <c r="C395" s="5"/>
      <c r="F395" s="5"/>
      <c r="I395" s="5"/>
    </row>
    <row r="396">
      <c r="C396" s="5"/>
      <c r="F396" s="5"/>
      <c r="I396" s="5"/>
    </row>
    <row r="397">
      <c r="C397" s="5"/>
      <c r="F397" s="5"/>
      <c r="I397" s="5"/>
    </row>
    <row r="398">
      <c r="C398" s="5"/>
      <c r="F398" s="5"/>
      <c r="I398" s="5"/>
    </row>
    <row r="399">
      <c r="C399" s="5"/>
      <c r="F399" s="5"/>
      <c r="I399" s="5"/>
    </row>
    <row r="400">
      <c r="C400" s="5"/>
      <c r="F400" s="5"/>
      <c r="I400" s="5"/>
    </row>
    <row r="401">
      <c r="C401" s="5"/>
      <c r="F401" s="5"/>
      <c r="I401" s="5"/>
    </row>
    <row r="402">
      <c r="C402" s="5"/>
      <c r="F402" s="5"/>
      <c r="I402" s="5"/>
    </row>
    <row r="403">
      <c r="C403" s="5"/>
      <c r="F403" s="5"/>
      <c r="I403" s="5"/>
    </row>
    <row r="404">
      <c r="C404" s="5"/>
      <c r="F404" s="5"/>
      <c r="I404" s="5"/>
    </row>
    <row r="405">
      <c r="C405" s="5"/>
      <c r="F405" s="5"/>
      <c r="I405" s="5"/>
    </row>
    <row r="406">
      <c r="C406" s="5"/>
      <c r="F406" s="5"/>
      <c r="I406" s="5"/>
    </row>
    <row r="407">
      <c r="C407" s="5"/>
      <c r="F407" s="5"/>
      <c r="I407" s="5"/>
    </row>
    <row r="408">
      <c r="C408" s="5"/>
      <c r="F408" s="5"/>
      <c r="I408" s="5"/>
    </row>
    <row r="409">
      <c r="C409" s="5"/>
      <c r="F409" s="5"/>
      <c r="I409" s="5"/>
    </row>
    <row r="410">
      <c r="C410" s="5"/>
      <c r="F410" s="5"/>
      <c r="I410" s="5"/>
    </row>
    <row r="411">
      <c r="C411" s="5"/>
      <c r="F411" s="5"/>
      <c r="I411" s="5"/>
    </row>
    <row r="412">
      <c r="C412" s="5"/>
      <c r="F412" s="5"/>
      <c r="I412" s="5"/>
    </row>
    <row r="413">
      <c r="C413" s="5"/>
      <c r="F413" s="5"/>
      <c r="I413" s="5"/>
    </row>
    <row r="414">
      <c r="C414" s="5"/>
      <c r="F414" s="5"/>
      <c r="I414" s="5"/>
    </row>
    <row r="415">
      <c r="C415" s="5"/>
      <c r="F415" s="5"/>
      <c r="I415" s="5"/>
    </row>
    <row r="416">
      <c r="C416" s="5"/>
      <c r="F416" s="5"/>
      <c r="I416" s="5"/>
    </row>
    <row r="417">
      <c r="C417" s="5"/>
      <c r="F417" s="5"/>
      <c r="I417" s="5"/>
    </row>
    <row r="418">
      <c r="C418" s="5"/>
      <c r="F418" s="5"/>
      <c r="I418" s="5"/>
    </row>
    <row r="419">
      <c r="C419" s="5"/>
      <c r="F419" s="5"/>
      <c r="I419" s="5"/>
    </row>
    <row r="420">
      <c r="C420" s="5"/>
      <c r="F420" s="5"/>
      <c r="I420" s="5"/>
    </row>
    <row r="421">
      <c r="C421" s="5"/>
      <c r="F421" s="5"/>
      <c r="I421" s="5"/>
    </row>
    <row r="422">
      <c r="C422" s="5"/>
      <c r="F422" s="5"/>
      <c r="I422" s="5"/>
    </row>
    <row r="423">
      <c r="C423" s="5"/>
      <c r="F423" s="5"/>
      <c r="I423" s="5"/>
    </row>
    <row r="424">
      <c r="C424" s="5"/>
      <c r="F424" s="5"/>
      <c r="I424" s="5"/>
    </row>
    <row r="425">
      <c r="C425" s="5"/>
      <c r="F425" s="5"/>
      <c r="I425" s="5"/>
    </row>
    <row r="426">
      <c r="C426" s="5"/>
      <c r="F426" s="5"/>
      <c r="I426" s="5"/>
    </row>
    <row r="427">
      <c r="C427" s="5"/>
      <c r="F427" s="5"/>
      <c r="I427" s="5"/>
    </row>
    <row r="428">
      <c r="C428" s="5"/>
      <c r="F428" s="5"/>
      <c r="I428" s="5"/>
    </row>
    <row r="429">
      <c r="C429" s="5"/>
      <c r="F429" s="5"/>
      <c r="I429" s="5"/>
    </row>
    <row r="430">
      <c r="C430" s="5"/>
      <c r="F430" s="5"/>
      <c r="I430" s="5"/>
    </row>
    <row r="431">
      <c r="C431" s="5"/>
      <c r="F431" s="5"/>
      <c r="I431" s="5"/>
    </row>
    <row r="432">
      <c r="C432" s="5"/>
      <c r="F432" s="5"/>
      <c r="I432" s="5"/>
    </row>
    <row r="433">
      <c r="C433" s="5"/>
      <c r="F433" s="5"/>
      <c r="I433" s="5"/>
    </row>
    <row r="434">
      <c r="C434" s="5"/>
      <c r="F434" s="5"/>
      <c r="I434" s="5"/>
    </row>
    <row r="435">
      <c r="C435" s="5"/>
      <c r="F435" s="5"/>
      <c r="I435" s="5"/>
    </row>
    <row r="436">
      <c r="C436" s="5"/>
      <c r="F436" s="5"/>
      <c r="I436" s="5"/>
    </row>
    <row r="437">
      <c r="C437" s="5"/>
      <c r="F437" s="5"/>
      <c r="I437" s="5"/>
    </row>
    <row r="438">
      <c r="C438" s="5"/>
      <c r="F438" s="5"/>
      <c r="I438" s="5"/>
    </row>
    <row r="439">
      <c r="C439" s="5"/>
      <c r="F439" s="5"/>
      <c r="I439" s="5"/>
    </row>
    <row r="440">
      <c r="C440" s="5"/>
      <c r="F440" s="5"/>
      <c r="I440" s="5"/>
    </row>
    <row r="441">
      <c r="C441" s="5"/>
      <c r="F441" s="5"/>
      <c r="I441" s="5"/>
    </row>
    <row r="442">
      <c r="C442" s="5"/>
      <c r="F442" s="5"/>
      <c r="I442" s="5"/>
    </row>
    <row r="443">
      <c r="C443" s="5"/>
      <c r="F443" s="5"/>
      <c r="I443" s="5"/>
    </row>
    <row r="444">
      <c r="C444" s="5"/>
      <c r="F444" s="5"/>
      <c r="I444" s="5"/>
    </row>
    <row r="445">
      <c r="C445" s="5"/>
      <c r="F445" s="5"/>
      <c r="I445" s="5"/>
    </row>
    <row r="446">
      <c r="C446" s="5"/>
      <c r="F446" s="5"/>
      <c r="I446" s="5"/>
    </row>
    <row r="447">
      <c r="C447" s="5"/>
      <c r="F447" s="5"/>
      <c r="I447" s="5"/>
    </row>
    <row r="448">
      <c r="C448" s="5"/>
      <c r="F448" s="5"/>
      <c r="I448" s="5"/>
    </row>
    <row r="449">
      <c r="C449" s="5"/>
      <c r="F449" s="5"/>
      <c r="I449" s="5"/>
    </row>
    <row r="450">
      <c r="C450" s="5"/>
      <c r="F450" s="5"/>
      <c r="I450" s="5"/>
    </row>
    <row r="451">
      <c r="C451" s="5"/>
      <c r="F451" s="5"/>
      <c r="I451" s="5"/>
    </row>
    <row r="452">
      <c r="C452" s="5"/>
      <c r="F452" s="5"/>
      <c r="I452" s="5"/>
    </row>
    <row r="453">
      <c r="C453" s="5"/>
      <c r="F453" s="5"/>
      <c r="I453" s="5"/>
    </row>
    <row r="454">
      <c r="C454" s="5"/>
      <c r="F454" s="5"/>
      <c r="I454" s="5"/>
    </row>
    <row r="455">
      <c r="C455" s="5"/>
      <c r="F455" s="5"/>
      <c r="I455" s="5"/>
    </row>
    <row r="456">
      <c r="C456" s="5"/>
      <c r="F456" s="5"/>
      <c r="I456" s="5"/>
    </row>
    <row r="457">
      <c r="C457" s="5"/>
      <c r="F457" s="5"/>
      <c r="I457" s="5"/>
    </row>
    <row r="458">
      <c r="C458" s="5"/>
      <c r="F458" s="5"/>
      <c r="I458" s="5"/>
    </row>
    <row r="459">
      <c r="C459" s="5"/>
      <c r="F459" s="5"/>
      <c r="I459" s="5"/>
    </row>
    <row r="460">
      <c r="C460" s="5"/>
      <c r="F460" s="5"/>
      <c r="I460" s="5"/>
    </row>
    <row r="461">
      <c r="C461" s="5"/>
      <c r="F461" s="5"/>
      <c r="I461" s="5"/>
    </row>
    <row r="462">
      <c r="C462" s="5"/>
      <c r="F462" s="5"/>
      <c r="I462" s="5"/>
    </row>
    <row r="463">
      <c r="C463" s="5"/>
      <c r="F463" s="5"/>
      <c r="I463" s="5"/>
    </row>
    <row r="464">
      <c r="C464" s="5"/>
      <c r="F464" s="5"/>
      <c r="I464" s="5"/>
    </row>
    <row r="465">
      <c r="C465" s="5"/>
      <c r="F465" s="5"/>
      <c r="I465" s="5"/>
    </row>
    <row r="466">
      <c r="C466" s="5"/>
      <c r="F466" s="5"/>
      <c r="I466" s="5"/>
    </row>
    <row r="467">
      <c r="C467" s="5"/>
      <c r="F467" s="5"/>
      <c r="I467" s="5"/>
    </row>
    <row r="468">
      <c r="C468" s="5"/>
      <c r="F468" s="5"/>
      <c r="I468" s="5"/>
    </row>
    <row r="469">
      <c r="C469" s="5"/>
      <c r="F469" s="5"/>
      <c r="I469" s="5"/>
    </row>
    <row r="470">
      <c r="C470" s="5"/>
      <c r="F470" s="5"/>
      <c r="I470" s="5"/>
    </row>
    <row r="471">
      <c r="C471" s="5"/>
      <c r="F471" s="5"/>
      <c r="I471" s="5"/>
    </row>
    <row r="472">
      <c r="C472" s="5"/>
      <c r="F472" s="5"/>
      <c r="I472" s="5"/>
    </row>
    <row r="473">
      <c r="C473" s="5"/>
      <c r="F473" s="5"/>
      <c r="I473" s="5"/>
    </row>
    <row r="474">
      <c r="C474" s="5"/>
      <c r="F474" s="5"/>
      <c r="I474" s="5"/>
    </row>
    <row r="475">
      <c r="C475" s="5"/>
      <c r="F475" s="5"/>
      <c r="I475" s="5"/>
    </row>
    <row r="476">
      <c r="C476" s="5"/>
      <c r="F476" s="5"/>
      <c r="I476" s="5"/>
    </row>
    <row r="477">
      <c r="C477" s="5"/>
      <c r="F477" s="5"/>
      <c r="I477" s="5"/>
    </row>
    <row r="478">
      <c r="C478" s="5"/>
      <c r="F478" s="5"/>
      <c r="I478" s="5"/>
    </row>
    <row r="479">
      <c r="C479" s="5"/>
      <c r="F479" s="5"/>
      <c r="I479" s="5"/>
    </row>
    <row r="480">
      <c r="C480" s="5"/>
      <c r="F480" s="5"/>
      <c r="I480" s="5"/>
    </row>
    <row r="481">
      <c r="C481" s="5"/>
      <c r="F481" s="5"/>
      <c r="I481" s="5"/>
    </row>
    <row r="482">
      <c r="C482" s="5"/>
      <c r="F482" s="5"/>
      <c r="I482" s="5"/>
    </row>
    <row r="483">
      <c r="C483" s="5"/>
      <c r="F483" s="5"/>
      <c r="I483" s="5"/>
    </row>
    <row r="484">
      <c r="C484" s="5"/>
      <c r="F484" s="5"/>
      <c r="I484" s="5"/>
    </row>
    <row r="485">
      <c r="C485" s="5"/>
      <c r="F485" s="5"/>
      <c r="I485" s="5"/>
    </row>
    <row r="486">
      <c r="C486" s="5"/>
      <c r="F486" s="5"/>
      <c r="I486" s="5"/>
    </row>
    <row r="487">
      <c r="C487" s="5"/>
      <c r="F487" s="5"/>
      <c r="I487" s="5"/>
    </row>
    <row r="488">
      <c r="C488" s="5"/>
      <c r="F488" s="5"/>
      <c r="I488" s="5"/>
    </row>
    <row r="489">
      <c r="C489" s="5"/>
      <c r="F489" s="5"/>
      <c r="I489" s="5"/>
    </row>
    <row r="490">
      <c r="C490" s="5"/>
      <c r="F490" s="5"/>
      <c r="I490" s="5"/>
    </row>
    <row r="491">
      <c r="C491" s="5"/>
      <c r="F491" s="5"/>
      <c r="I491" s="5"/>
    </row>
    <row r="492">
      <c r="C492" s="5"/>
      <c r="F492" s="5"/>
      <c r="I492" s="5"/>
    </row>
    <row r="493">
      <c r="C493" s="5"/>
      <c r="F493" s="5"/>
      <c r="I493" s="5"/>
    </row>
    <row r="494">
      <c r="C494" s="5"/>
      <c r="F494" s="5"/>
      <c r="I494" s="5"/>
    </row>
    <row r="495">
      <c r="C495" s="5"/>
      <c r="F495" s="5"/>
      <c r="I495" s="5"/>
    </row>
    <row r="496">
      <c r="C496" s="5"/>
      <c r="F496" s="5"/>
      <c r="I496" s="5"/>
    </row>
    <row r="497">
      <c r="C497" s="5"/>
      <c r="F497" s="5"/>
      <c r="I497" s="5"/>
    </row>
    <row r="498">
      <c r="C498" s="5"/>
      <c r="F498" s="5"/>
      <c r="I498" s="5"/>
    </row>
    <row r="499">
      <c r="C499" s="5"/>
      <c r="F499" s="5"/>
      <c r="I499" s="5"/>
    </row>
    <row r="500">
      <c r="C500" s="5"/>
      <c r="F500" s="5"/>
      <c r="I500" s="5"/>
    </row>
    <row r="501">
      <c r="C501" s="5"/>
      <c r="F501" s="5"/>
      <c r="I501" s="5"/>
    </row>
    <row r="502">
      <c r="C502" s="5"/>
      <c r="F502" s="5"/>
      <c r="I502" s="5"/>
    </row>
    <row r="503">
      <c r="C503" s="5"/>
      <c r="F503" s="5"/>
      <c r="I503" s="5"/>
    </row>
    <row r="504">
      <c r="C504" s="5"/>
      <c r="F504" s="5"/>
      <c r="I504" s="5"/>
    </row>
    <row r="505">
      <c r="C505" s="5"/>
      <c r="F505" s="5"/>
      <c r="I505" s="5"/>
    </row>
    <row r="506">
      <c r="C506" s="5"/>
      <c r="F506" s="5"/>
      <c r="I506" s="5"/>
    </row>
    <row r="507">
      <c r="C507" s="5"/>
      <c r="F507" s="5"/>
      <c r="I507" s="5"/>
    </row>
    <row r="508">
      <c r="C508" s="5"/>
      <c r="F508" s="5"/>
      <c r="I508" s="5"/>
    </row>
    <row r="509">
      <c r="C509" s="5"/>
      <c r="F509" s="5"/>
      <c r="I509" s="5"/>
    </row>
    <row r="510">
      <c r="C510" s="5"/>
      <c r="F510" s="5"/>
      <c r="I510" s="5"/>
    </row>
    <row r="511">
      <c r="C511" s="5"/>
      <c r="F511" s="5"/>
      <c r="I511" s="5"/>
    </row>
    <row r="512">
      <c r="C512" s="5"/>
      <c r="F512" s="5"/>
      <c r="I512" s="5"/>
    </row>
    <row r="513">
      <c r="C513" s="5"/>
      <c r="F513" s="5"/>
      <c r="I513" s="5"/>
    </row>
    <row r="514">
      <c r="C514" s="5"/>
      <c r="F514" s="5"/>
      <c r="I514" s="5"/>
    </row>
    <row r="515">
      <c r="C515" s="5"/>
      <c r="F515" s="5"/>
      <c r="I515" s="5"/>
    </row>
    <row r="516">
      <c r="C516" s="5"/>
      <c r="F516" s="5"/>
      <c r="I516" s="5"/>
    </row>
    <row r="517">
      <c r="C517" s="5"/>
      <c r="F517" s="5"/>
      <c r="I517" s="5"/>
    </row>
    <row r="518">
      <c r="C518" s="5"/>
      <c r="F518" s="5"/>
      <c r="I518" s="5"/>
    </row>
    <row r="519">
      <c r="C519" s="5"/>
      <c r="F519" s="5"/>
      <c r="I519" s="5"/>
    </row>
    <row r="520">
      <c r="C520" s="5"/>
      <c r="F520" s="5"/>
      <c r="I520" s="5"/>
    </row>
    <row r="521">
      <c r="C521" s="5"/>
      <c r="F521" s="5"/>
      <c r="I521" s="5"/>
    </row>
    <row r="522">
      <c r="C522" s="5"/>
      <c r="F522" s="5"/>
      <c r="I522" s="5"/>
    </row>
    <row r="523">
      <c r="C523" s="5"/>
      <c r="F523" s="5"/>
      <c r="I523" s="5"/>
    </row>
    <row r="524">
      <c r="C524" s="5"/>
      <c r="F524" s="5"/>
      <c r="I524" s="5"/>
    </row>
    <row r="525">
      <c r="C525" s="5"/>
      <c r="F525" s="5"/>
      <c r="I525" s="5"/>
    </row>
    <row r="526">
      <c r="C526" s="5"/>
      <c r="F526" s="5"/>
      <c r="I526" s="5"/>
    </row>
    <row r="527">
      <c r="C527" s="5"/>
      <c r="F527" s="5"/>
      <c r="I527" s="5"/>
    </row>
    <row r="528">
      <c r="C528" s="5"/>
      <c r="F528" s="5"/>
      <c r="I528" s="5"/>
    </row>
    <row r="529">
      <c r="C529" s="5"/>
      <c r="F529" s="5"/>
      <c r="I529" s="5"/>
    </row>
    <row r="530">
      <c r="C530" s="5"/>
      <c r="F530" s="5"/>
      <c r="I530" s="5"/>
    </row>
    <row r="531">
      <c r="C531" s="5"/>
      <c r="F531" s="5"/>
      <c r="I531" s="5"/>
    </row>
    <row r="532">
      <c r="C532" s="5"/>
      <c r="F532" s="5"/>
      <c r="I532" s="5"/>
    </row>
    <row r="533">
      <c r="C533" s="5"/>
      <c r="F533" s="5"/>
      <c r="I533" s="5"/>
    </row>
    <row r="534">
      <c r="C534" s="5"/>
      <c r="F534" s="5"/>
      <c r="I534" s="5"/>
    </row>
    <row r="535">
      <c r="C535" s="5"/>
      <c r="F535" s="5"/>
      <c r="I535" s="5"/>
    </row>
    <row r="536">
      <c r="C536" s="5"/>
      <c r="F536" s="5"/>
      <c r="I536" s="5"/>
    </row>
    <row r="537">
      <c r="C537" s="5"/>
      <c r="F537" s="5"/>
      <c r="I537" s="5"/>
    </row>
    <row r="538">
      <c r="C538" s="5"/>
      <c r="F538" s="5"/>
      <c r="I538" s="5"/>
    </row>
    <row r="539">
      <c r="C539" s="5"/>
      <c r="F539" s="5"/>
      <c r="I539" s="5"/>
    </row>
    <row r="540">
      <c r="C540" s="5"/>
      <c r="F540" s="5"/>
      <c r="I540" s="5"/>
    </row>
    <row r="541">
      <c r="C541" s="5"/>
      <c r="F541" s="5"/>
      <c r="I541" s="5"/>
    </row>
    <row r="542">
      <c r="C542" s="5"/>
      <c r="F542" s="5"/>
      <c r="I542" s="5"/>
    </row>
    <row r="543">
      <c r="C543" s="5"/>
      <c r="F543" s="5"/>
      <c r="I543" s="5"/>
    </row>
    <row r="544">
      <c r="C544" s="5"/>
      <c r="F544" s="5"/>
      <c r="I544" s="5"/>
    </row>
    <row r="545">
      <c r="C545" s="5"/>
      <c r="F545" s="5"/>
      <c r="I545" s="5"/>
    </row>
    <row r="546">
      <c r="C546" s="5"/>
      <c r="F546" s="5"/>
      <c r="I546" s="5"/>
    </row>
    <row r="547">
      <c r="C547" s="5"/>
      <c r="F547" s="5"/>
      <c r="I547" s="5"/>
    </row>
    <row r="548">
      <c r="C548" s="5"/>
      <c r="F548" s="5"/>
      <c r="I548" s="5"/>
    </row>
    <row r="549">
      <c r="C549" s="5"/>
      <c r="F549" s="5"/>
      <c r="I549" s="5"/>
    </row>
    <row r="550">
      <c r="C550" s="5"/>
      <c r="F550" s="5"/>
      <c r="I550" s="5"/>
    </row>
    <row r="551">
      <c r="C551" s="5"/>
      <c r="F551" s="5"/>
      <c r="I551" s="5"/>
    </row>
    <row r="552">
      <c r="C552" s="5"/>
      <c r="F552" s="5"/>
      <c r="I552" s="5"/>
    </row>
    <row r="553">
      <c r="C553" s="5"/>
      <c r="F553" s="5"/>
      <c r="I553" s="5"/>
    </row>
    <row r="554">
      <c r="C554" s="5"/>
      <c r="F554" s="5"/>
      <c r="I554" s="5"/>
    </row>
    <row r="555">
      <c r="C555" s="5"/>
      <c r="F555" s="5"/>
      <c r="I555" s="5"/>
    </row>
    <row r="556">
      <c r="C556" s="5"/>
      <c r="F556" s="5"/>
      <c r="I556" s="5"/>
    </row>
    <row r="557">
      <c r="C557" s="5"/>
      <c r="F557" s="5"/>
      <c r="I557" s="5"/>
    </row>
    <row r="558">
      <c r="C558" s="5"/>
      <c r="F558" s="5"/>
      <c r="I558" s="5"/>
    </row>
    <row r="559">
      <c r="C559" s="5"/>
      <c r="F559" s="5"/>
      <c r="I559" s="5"/>
    </row>
    <row r="560">
      <c r="C560" s="5"/>
      <c r="F560" s="5"/>
      <c r="I560" s="5"/>
    </row>
    <row r="561">
      <c r="C561" s="5"/>
      <c r="F561" s="5"/>
      <c r="I561" s="5"/>
    </row>
    <row r="562">
      <c r="C562" s="5"/>
      <c r="F562" s="5"/>
      <c r="I562" s="5"/>
    </row>
    <row r="563">
      <c r="C563" s="5"/>
      <c r="F563" s="5"/>
      <c r="I563" s="5"/>
    </row>
    <row r="564">
      <c r="C564" s="5"/>
      <c r="F564" s="5"/>
      <c r="I564" s="5"/>
    </row>
    <row r="565">
      <c r="C565" s="5"/>
      <c r="F565" s="5"/>
      <c r="I565" s="5"/>
    </row>
    <row r="566">
      <c r="C566" s="5"/>
      <c r="F566" s="5"/>
      <c r="I566" s="5"/>
    </row>
    <row r="567">
      <c r="C567" s="5"/>
      <c r="F567" s="5"/>
      <c r="I567" s="5"/>
    </row>
    <row r="568">
      <c r="C568" s="5"/>
      <c r="F568" s="5"/>
      <c r="I568" s="5"/>
    </row>
    <row r="569">
      <c r="C569" s="5"/>
      <c r="F569" s="5"/>
      <c r="I569" s="5"/>
    </row>
    <row r="570">
      <c r="C570" s="5"/>
      <c r="F570" s="5"/>
      <c r="I570" s="5"/>
    </row>
    <row r="571">
      <c r="C571" s="5"/>
      <c r="F571" s="5"/>
      <c r="I571" s="5"/>
    </row>
    <row r="572">
      <c r="C572" s="5"/>
      <c r="F572" s="5"/>
      <c r="I572" s="5"/>
    </row>
    <row r="573">
      <c r="C573" s="5"/>
      <c r="F573" s="5"/>
      <c r="I573" s="5"/>
    </row>
    <row r="574">
      <c r="C574" s="5"/>
      <c r="F574" s="5"/>
      <c r="I574" s="5"/>
    </row>
    <row r="575">
      <c r="C575" s="5"/>
      <c r="F575" s="5"/>
      <c r="I575" s="5"/>
    </row>
    <row r="576">
      <c r="C576" s="5"/>
      <c r="F576" s="5"/>
      <c r="I576" s="5"/>
    </row>
    <row r="577">
      <c r="C577" s="5"/>
      <c r="F577" s="5"/>
      <c r="I577" s="5"/>
    </row>
    <row r="578">
      <c r="C578" s="5"/>
      <c r="F578" s="5"/>
      <c r="I578" s="5"/>
    </row>
    <row r="579">
      <c r="C579" s="5"/>
      <c r="F579" s="5"/>
      <c r="I579" s="5"/>
    </row>
    <row r="580">
      <c r="C580" s="5"/>
      <c r="F580" s="5"/>
      <c r="I580" s="5"/>
    </row>
    <row r="581">
      <c r="C581" s="5"/>
      <c r="F581" s="5"/>
      <c r="I581" s="5"/>
    </row>
    <row r="582">
      <c r="C582" s="5"/>
      <c r="F582" s="5"/>
      <c r="I582" s="5"/>
    </row>
    <row r="583">
      <c r="C583" s="5"/>
      <c r="F583" s="5"/>
      <c r="I583" s="5"/>
    </row>
    <row r="584">
      <c r="C584" s="5"/>
      <c r="F584" s="5"/>
      <c r="I584" s="5"/>
    </row>
    <row r="585">
      <c r="C585" s="5"/>
      <c r="F585" s="5"/>
      <c r="I585" s="5"/>
    </row>
    <row r="586">
      <c r="C586" s="5"/>
      <c r="F586" s="5"/>
      <c r="I586" s="5"/>
    </row>
    <row r="587">
      <c r="C587" s="5"/>
      <c r="F587" s="5"/>
      <c r="I587" s="5"/>
    </row>
    <row r="588">
      <c r="C588" s="5"/>
      <c r="F588" s="5"/>
      <c r="I588" s="5"/>
    </row>
    <row r="589">
      <c r="C589" s="5"/>
      <c r="F589" s="5"/>
      <c r="I589" s="5"/>
    </row>
    <row r="590">
      <c r="C590" s="5"/>
      <c r="F590" s="5"/>
      <c r="I590" s="5"/>
    </row>
    <row r="591">
      <c r="C591" s="5"/>
      <c r="F591" s="5"/>
      <c r="I591" s="5"/>
    </row>
    <row r="592">
      <c r="C592" s="5"/>
      <c r="F592" s="5"/>
      <c r="I592" s="5"/>
    </row>
    <row r="593">
      <c r="C593" s="5"/>
      <c r="F593" s="5"/>
      <c r="I593" s="5"/>
    </row>
    <row r="594">
      <c r="C594" s="5"/>
      <c r="F594" s="5"/>
      <c r="I594" s="5"/>
    </row>
    <row r="595">
      <c r="C595" s="5"/>
      <c r="F595" s="5"/>
      <c r="I595" s="5"/>
    </row>
    <row r="596">
      <c r="C596" s="5"/>
      <c r="F596" s="5"/>
      <c r="I596" s="5"/>
    </row>
    <row r="597">
      <c r="C597" s="5"/>
      <c r="F597" s="5"/>
      <c r="I597" s="5"/>
    </row>
    <row r="598">
      <c r="C598" s="5"/>
      <c r="F598" s="5"/>
      <c r="I598" s="5"/>
    </row>
    <row r="599">
      <c r="C599" s="5"/>
      <c r="F599" s="5"/>
      <c r="I599" s="5"/>
    </row>
    <row r="600">
      <c r="C600" s="5"/>
      <c r="F600" s="5"/>
      <c r="I600" s="5"/>
    </row>
    <row r="601">
      <c r="C601" s="5"/>
      <c r="F601" s="5"/>
      <c r="I601" s="5"/>
    </row>
    <row r="602">
      <c r="C602" s="5"/>
      <c r="F602" s="5"/>
      <c r="I602" s="5"/>
    </row>
    <row r="603">
      <c r="C603" s="5"/>
      <c r="F603" s="5"/>
      <c r="I603" s="5"/>
    </row>
    <row r="604">
      <c r="C604" s="5"/>
      <c r="F604" s="5"/>
      <c r="I604" s="5"/>
    </row>
    <row r="605">
      <c r="C605" s="5"/>
      <c r="F605" s="5"/>
      <c r="I605" s="5"/>
    </row>
    <row r="606">
      <c r="C606" s="5"/>
      <c r="F606" s="5"/>
      <c r="I606" s="5"/>
    </row>
    <row r="607">
      <c r="C607" s="5"/>
      <c r="F607" s="5"/>
      <c r="I607" s="5"/>
    </row>
    <row r="608">
      <c r="C608" s="5"/>
      <c r="F608" s="5"/>
      <c r="I608" s="5"/>
    </row>
    <row r="609">
      <c r="C609" s="5"/>
      <c r="F609" s="5"/>
      <c r="I609" s="5"/>
    </row>
    <row r="610">
      <c r="C610" s="5"/>
      <c r="F610" s="5"/>
      <c r="I610" s="5"/>
    </row>
    <row r="611">
      <c r="C611" s="5"/>
      <c r="F611" s="5"/>
      <c r="I611" s="5"/>
    </row>
    <row r="612">
      <c r="C612" s="5"/>
      <c r="F612" s="5"/>
      <c r="I612" s="5"/>
    </row>
    <row r="613">
      <c r="C613" s="5"/>
      <c r="F613" s="5"/>
      <c r="I613" s="5"/>
    </row>
    <row r="614">
      <c r="C614" s="5"/>
      <c r="F614" s="5"/>
      <c r="I614" s="5"/>
    </row>
    <row r="615">
      <c r="C615" s="5"/>
      <c r="F615" s="5"/>
      <c r="I615" s="5"/>
    </row>
    <row r="616">
      <c r="C616" s="5"/>
      <c r="F616" s="5"/>
      <c r="I616" s="5"/>
    </row>
    <row r="617">
      <c r="C617" s="5"/>
      <c r="F617" s="5"/>
      <c r="I617" s="5"/>
    </row>
    <row r="618">
      <c r="C618" s="5"/>
      <c r="F618" s="5"/>
      <c r="I618" s="5"/>
    </row>
    <row r="619">
      <c r="C619" s="5"/>
      <c r="F619" s="5"/>
      <c r="I619" s="5"/>
    </row>
    <row r="620">
      <c r="C620" s="5"/>
      <c r="F620" s="5"/>
      <c r="I620" s="5"/>
    </row>
    <row r="621">
      <c r="C621" s="5"/>
      <c r="F621" s="5"/>
      <c r="I621" s="5"/>
    </row>
    <row r="622">
      <c r="C622" s="5"/>
      <c r="F622" s="5"/>
      <c r="I622" s="5"/>
    </row>
    <row r="623">
      <c r="C623" s="5"/>
      <c r="F623" s="5"/>
      <c r="I623" s="5"/>
    </row>
    <row r="624">
      <c r="C624" s="5"/>
      <c r="F624" s="5"/>
      <c r="I624" s="5"/>
    </row>
    <row r="625">
      <c r="C625" s="5"/>
      <c r="F625" s="5"/>
      <c r="I625" s="5"/>
    </row>
    <row r="626">
      <c r="C626" s="5"/>
      <c r="F626" s="5"/>
      <c r="I626" s="5"/>
    </row>
    <row r="627">
      <c r="C627" s="5"/>
      <c r="F627" s="5"/>
      <c r="I627" s="5"/>
    </row>
    <row r="628">
      <c r="C628" s="5"/>
      <c r="F628" s="5"/>
      <c r="I628" s="5"/>
    </row>
    <row r="629">
      <c r="C629" s="5"/>
      <c r="F629" s="5"/>
      <c r="I629" s="5"/>
    </row>
    <row r="630">
      <c r="C630" s="5"/>
      <c r="F630" s="5"/>
      <c r="I630" s="5"/>
    </row>
    <row r="631">
      <c r="C631" s="5"/>
      <c r="F631" s="5"/>
      <c r="I631" s="5"/>
    </row>
    <row r="632">
      <c r="C632" s="5"/>
      <c r="F632" s="5"/>
      <c r="I632" s="5"/>
    </row>
    <row r="633">
      <c r="C633" s="5"/>
      <c r="F633" s="5"/>
      <c r="I633" s="5"/>
    </row>
    <row r="634">
      <c r="C634" s="5"/>
      <c r="F634" s="5"/>
      <c r="I634" s="5"/>
    </row>
    <row r="635">
      <c r="C635" s="5"/>
      <c r="F635" s="5"/>
      <c r="I635" s="5"/>
    </row>
    <row r="636">
      <c r="C636" s="5"/>
      <c r="F636" s="5"/>
      <c r="I636" s="5"/>
    </row>
    <row r="637">
      <c r="C637" s="5"/>
      <c r="F637" s="5"/>
      <c r="I637" s="5"/>
    </row>
    <row r="638">
      <c r="C638" s="5"/>
      <c r="F638" s="5"/>
      <c r="I638" s="5"/>
    </row>
    <row r="639">
      <c r="C639" s="5"/>
      <c r="F639" s="5"/>
      <c r="I639" s="5"/>
    </row>
    <row r="640">
      <c r="C640" s="5"/>
      <c r="F640" s="5"/>
      <c r="I640" s="5"/>
    </row>
    <row r="641">
      <c r="C641" s="5"/>
      <c r="F641" s="5"/>
      <c r="I641" s="5"/>
    </row>
    <row r="642">
      <c r="C642" s="5"/>
      <c r="F642" s="5"/>
      <c r="I642" s="5"/>
    </row>
    <row r="643">
      <c r="C643" s="5"/>
      <c r="F643" s="5"/>
      <c r="I643" s="5"/>
    </row>
    <row r="644">
      <c r="C644" s="5"/>
      <c r="F644" s="5"/>
      <c r="I644" s="5"/>
    </row>
    <row r="645">
      <c r="C645" s="5"/>
      <c r="F645" s="5"/>
      <c r="I645" s="5"/>
    </row>
    <row r="646">
      <c r="C646" s="5"/>
      <c r="F646" s="5"/>
      <c r="I646" s="5"/>
    </row>
    <row r="647">
      <c r="C647" s="5"/>
      <c r="F647" s="5"/>
      <c r="I647" s="5"/>
    </row>
    <row r="648">
      <c r="C648" s="5"/>
      <c r="F648" s="5"/>
      <c r="I648" s="5"/>
    </row>
    <row r="649">
      <c r="C649" s="5"/>
      <c r="F649" s="5"/>
      <c r="I649" s="5"/>
    </row>
    <row r="650">
      <c r="C650" s="5"/>
      <c r="F650" s="5"/>
      <c r="I650" s="5"/>
    </row>
    <row r="651">
      <c r="C651" s="5"/>
      <c r="F651" s="5"/>
      <c r="I651" s="5"/>
    </row>
    <row r="652">
      <c r="C652" s="5"/>
      <c r="F652" s="5"/>
      <c r="I652" s="5"/>
    </row>
    <row r="653">
      <c r="C653" s="5"/>
      <c r="F653" s="5"/>
      <c r="I653" s="5"/>
    </row>
    <row r="654">
      <c r="C654" s="5"/>
      <c r="F654" s="5"/>
      <c r="I654" s="5"/>
    </row>
    <row r="655">
      <c r="C655" s="5"/>
      <c r="F655" s="5"/>
      <c r="I655" s="5"/>
    </row>
    <row r="656">
      <c r="C656" s="5"/>
      <c r="F656" s="5"/>
      <c r="I656" s="5"/>
    </row>
    <row r="657">
      <c r="C657" s="5"/>
      <c r="F657" s="5"/>
      <c r="I657" s="5"/>
    </row>
    <row r="658">
      <c r="C658" s="5"/>
      <c r="F658" s="5"/>
      <c r="I658" s="5"/>
    </row>
    <row r="659">
      <c r="C659" s="5"/>
      <c r="F659" s="5"/>
      <c r="I659" s="5"/>
    </row>
    <row r="660">
      <c r="C660" s="5"/>
      <c r="F660" s="5"/>
      <c r="I660" s="5"/>
    </row>
    <row r="661">
      <c r="C661" s="5"/>
      <c r="F661" s="5"/>
      <c r="I661" s="5"/>
    </row>
    <row r="662">
      <c r="C662" s="5"/>
      <c r="F662" s="5"/>
      <c r="I662" s="5"/>
    </row>
    <row r="663">
      <c r="C663" s="5"/>
      <c r="F663" s="5"/>
      <c r="I663" s="5"/>
    </row>
    <row r="664">
      <c r="C664" s="5"/>
      <c r="F664" s="5"/>
      <c r="I664" s="5"/>
    </row>
    <row r="665">
      <c r="C665" s="5"/>
      <c r="F665" s="5"/>
      <c r="I665" s="5"/>
    </row>
    <row r="666">
      <c r="C666" s="5"/>
      <c r="F666" s="5"/>
      <c r="I666" s="5"/>
    </row>
    <row r="667">
      <c r="C667" s="5"/>
      <c r="F667" s="5"/>
      <c r="I667" s="5"/>
    </row>
    <row r="668">
      <c r="C668" s="5"/>
      <c r="F668" s="5"/>
      <c r="I668" s="5"/>
    </row>
    <row r="669">
      <c r="C669" s="5"/>
      <c r="F669" s="5"/>
      <c r="I669" s="5"/>
    </row>
    <row r="670">
      <c r="C670" s="5"/>
      <c r="F670" s="5"/>
      <c r="I670" s="5"/>
    </row>
    <row r="671">
      <c r="C671" s="5"/>
      <c r="F671" s="5"/>
      <c r="I671" s="5"/>
    </row>
    <row r="672">
      <c r="C672" s="5"/>
      <c r="F672" s="5"/>
      <c r="I672" s="5"/>
    </row>
    <row r="673">
      <c r="C673" s="5"/>
      <c r="F673" s="5"/>
      <c r="I673" s="5"/>
    </row>
    <row r="674">
      <c r="C674" s="5"/>
      <c r="F674" s="5"/>
      <c r="I674" s="5"/>
    </row>
    <row r="675">
      <c r="C675" s="5"/>
      <c r="F675" s="5"/>
      <c r="I675" s="5"/>
    </row>
    <row r="676">
      <c r="C676" s="5"/>
      <c r="F676" s="5"/>
      <c r="I676" s="5"/>
    </row>
    <row r="677">
      <c r="C677" s="5"/>
      <c r="F677" s="5"/>
      <c r="I677" s="5"/>
    </row>
    <row r="678">
      <c r="C678" s="5"/>
      <c r="F678" s="5"/>
      <c r="I678" s="5"/>
    </row>
    <row r="679">
      <c r="C679" s="5"/>
      <c r="F679" s="5"/>
      <c r="I679" s="5"/>
    </row>
    <row r="680">
      <c r="C680" s="5"/>
      <c r="F680" s="5"/>
      <c r="I680" s="5"/>
    </row>
    <row r="681">
      <c r="C681" s="5"/>
      <c r="F681" s="5"/>
      <c r="I681" s="5"/>
    </row>
    <row r="682">
      <c r="C682" s="5"/>
      <c r="F682" s="5"/>
      <c r="I682" s="5"/>
    </row>
    <row r="683">
      <c r="C683" s="5"/>
      <c r="F683" s="5"/>
      <c r="I683" s="5"/>
    </row>
    <row r="684">
      <c r="C684" s="5"/>
      <c r="F684" s="5"/>
      <c r="I684" s="5"/>
    </row>
    <row r="685">
      <c r="C685" s="5"/>
      <c r="F685" s="5"/>
      <c r="I685" s="5"/>
    </row>
    <row r="686">
      <c r="C686" s="5"/>
      <c r="F686" s="5"/>
      <c r="I686" s="5"/>
    </row>
    <row r="687">
      <c r="C687" s="5"/>
      <c r="F687" s="5"/>
      <c r="I687" s="5"/>
    </row>
    <row r="688">
      <c r="C688" s="5"/>
      <c r="F688" s="5"/>
      <c r="I688" s="5"/>
    </row>
    <row r="689">
      <c r="C689" s="5"/>
      <c r="F689" s="5"/>
      <c r="I689" s="5"/>
    </row>
    <row r="690">
      <c r="C690" s="5"/>
      <c r="F690" s="5"/>
      <c r="I690" s="5"/>
    </row>
    <row r="691">
      <c r="C691" s="5"/>
      <c r="F691" s="5"/>
      <c r="I691" s="5"/>
    </row>
    <row r="692">
      <c r="C692" s="5"/>
      <c r="F692" s="5"/>
      <c r="I692" s="5"/>
    </row>
    <row r="693">
      <c r="C693" s="5"/>
      <c r="F693" s="5"/>
      <c r="I693" s="5"/>
    </row>
    <row r="694">
      <c r="C694" s="5"/>
      <c r="F694" s="5"/>
      <c r="I694" s="5"/>
    </row>
    <row r="695">
      <c r="C695" s="5"/>
      <c r="F695" s="5"/>
      <c r="I695" s="5"/>
    </row>
    <row r="696">
      <c r="C696" s="5"/>
      <c r="F696" s="5"/>
      <c r="I696" s="5"/>
    </row>
    <row r="697">
      <c r="C697" s="5"/>
      <c r="F697" s="5"/>
      <c r="I697" s="5"/>
    </row>
    <row r="698">
      <c r="C698" s="5"/>
      <c r="F698" s="5"/>
      <c r="I698" s="5"/>
    </row>
    <row r="699">
      <c r="C699" s="5"/>
      <c r="F699" s="5"/>
      <c r="I699" s="5"/>
    </row>
    <row r="700">
      <c r="C700" s="5"/>
      <c r="F700" s="5"/>
      <c r="I700" s="5"/>
    </row>
    <row r="701">
      <c r="C701" s="5"/>
      <c r="F701" s="5"/>
      <c r="I701" s="5"/>
    </row>
    <row r="702">
      <c r="C702" s="5"/>
      <c r="F702" s="5"/>
      <c r="I702" s="5"/>
    </row>
    <row r="703">
      <c r="C703" s="5"/>
      <c r="F703" s="5"/>
      <c r="I703" s="5"/>
    </row>
    <row r="704">
      <c r="C704" s="5"/>
      <c r="F704" s="5"/>
      <c r="I704" s="5"/>
    </row>
    <row r="705">
      <c r="C705" s="5"/>
      <c r="F705" s="5"/>
      <c r="I705" s="5"/>
    </row>
    <row r="706">
      <c r="C706" s="5"/>
      <c r="F706" s="5"/>
      <c r="I706" s="5"/>
    </row>
    <row r="707">
      <c r="C707" s="5"/>
      <c r="F707" s="5"/>
      <c r="I707" s="5"/>
    </row>
    <row r="708">
      <c r="C708" s="5"/>
      <c r="F708" s="5"/>
      <c r="I708" s="5"/>
    </row>
    <row r="709">
      <c r="C709" s="5"/>
      <c r="F709" s="5"/>
      <c r="I709" s="5"/>
    </row>
    <row r="710">
      <c r="C710" s="5"/>
      <c r="F710" s="5"/>
      <c r="I710" s="5"/>
    </row>
    <row r="711">
      <c r="C711" s="5"/>
      <c r="F711" s="5"/>
      <c r="I711" s="5"/>
    </row>
    <row r="712">
      <c r="C712" s="5"/>
      <c r="F712" s="5"/>
      <c r="I712" s="5"/>
    </row>
    <row r="713">
      <c r="C713" s="5"/>
      <c r="F713" s="5"/>
      <c r="I713" s="5"/>
    </row>
    <row r="714">
      <c r="C714" s="5"/>
      <c r="F714" s="5"/>
      <c r="I714" s="5"/>
    </row>
    <row r="715">
      <c r="C715" s="5"/>
      <c r="F715" s="5"/>
      <c r="I715" s="5"/>
    </row>
    <row r="716">
      <c r="C716" s="5"/>
      <c r="F716" s="5"/>
      <c r="I716" s="5"/>
    </row>
    <row r="717">
      <c r="C717" s="5"/>
      <c r="F717" s="5"/>
      <c r="I717" s="5"/>
    </row>
    <row r="718">
      <c r="C718" s="5"/>
      <c r="F718" s="5"/>
      <c r="I718" s="5"/>
    </row>
    <row r="719">
      <c r="C719" s="5"/>
      <c r="F719" s="5"/>
      <c r="I719" s="5"/>
    </row>
    <row r="720">
      <c r="C720" s="5"/>
      <c r="F720" s="5"/>
      <c r="I720" s="5"/>
    </row>
    <row r="721">
      <c r="C721" s="5"/>
      <c r="F721" s="5"/>
      <c r="I721" s="5"/>
    </row>
    <row r="722">
      <c r="C722" s="5"/>
      <c r="F722" s="5"/>
      <c r="I722" s="5"/>
    </row>
    <row r="723">
      <c r="C723" s="5"/>
      <c r="F723" s="5"/>
      <c r="I723" s="5"/>
    </row>
    <row r="724">
      <c r="C724" s="5"/>
      <c r="F724" s="5"/>
      <c r="I724" s="5"/>
    </row>
    <row r="725">
      <c r="C725" s="5"/>
      <c r="F725" s="5"/>
      <c r="I725" s="5"/>
    </row>
    <row r="726">
      <c r="C726" s="5"/>
      <c r="F726" s="5"/>
      <c r="I726" s="5"/>
    </row>
    <row r="727">
      <c r="C727" s="5"/>
      <c r="F727" s="5"/>
      <c r="I727" s="5"/>
    </row>
    <row r="728">
      <c r="C728" s="5"/>
      <c r="F728" s="5"/>
      <c r="I728" s="5"/>
    </row>
    <row r="729">
      <c r="C729" s="5"/>
      <c r="F729" s="5"/>
      <c r="I729" s="5"/>
    </row>
    <row r="730">
      <c r="C730" s="5"/>
      <c r="F730" s="5"/>
      <c r="I730" s="5"/>
    </row>
    <row r="731">
      <c r="C731" s="5"/>
      <c r="F731" s="5"/>
      <c r="I731" s="5"/>
    </row>
    <row r="732">
      <c r="C732" s="5"/>
      <c r="F732" s="5"/>
      <c r="I732" s="5"/>
    </row>
    <row r="733">
      <c r="C733" s="5"/>
      <c r="F733" s="5"/>
      <c r="I733" s="5"/>
    </row>
    <row r="734">
      <c r="C734" s="5"/>
      <c r="F734" s="5"/>
      <c r="I734" s="5"/>
    </row>
    <row r="735">
      <c r="C735" s="5"/>
      <c r="F735" s="5"/>
      <c r="I735" s="5"/>
    </row>
    <row r="736">
      <c r="C736" s="5"/>
      <c r="F736" s="5"/>
      <c r="I736" s="5"/>
    </row>
    <row r="737">
      <c r="C737" s="5"/>
      <c r="F737" s="5"/>
      <c r="I737" s="5"/>
    </row>
    <row r="738">
      <c r="C738" s="5"/>
      <c r="F738" s="5"/>
      <c r="I738" s="5"/>
    </row>
    <row r="739">
      <c r="C739" s="5"/>
      <c r="F739" s="5"/>
      <c r="I739" s="5"/>
    </row>
    <row r="740">
      <c r="C740" s="5"/>
      <c r="F740" s="5"/>
      <c r="I740" s="5"/>
    </row>
    <row r="741">
      <c r="C741" s="5"/>
      <c r="F741" s="5"/>
      <c r="I741" s="5"/>
    </row>
    <row r="742">
      <c r="C742" s="5"/>
      <c r="F742" s="5"/>
      <c r="I742" s="5"/>
    </row>
    <row r="743">
      <c r="C743" s="5"/>
      <c r="F743" s="5"/>
      <c r="I743" s="5"/>
    </row>
    <row r="744">
      <c r="C744" s="5"/>
      <c r="F744" s="5"/>
      <c r="I744" s="5"/>
    </row>
    <row r="745">
      <c r="C745" s="5"/>
      <c r="F745" s="5"/>
      <c r="I745" s="5"/>
    </row>
    <row r="746">
      <c r="C746" s="5"/>
      <c r="F746" s="5"/>
      <c r="I746" s="5"/>
    </row>
    <row r="747">
      <c r="C747" s="5"/>
      <c r="F747" s="5"/>
      <c r="I747" s="5"/>
    </row>
    <row r="748">
      <c r="C748" s="5"/>
      <c r="F748" s="5"/>
      <c r="I748" s="5"/>
    </row>
    <row r="749">
      <c r="C749" s="5"/>
      <c r="F749" s="5"/>
      <c r="I749" s="5"/>
    </row>
    <row r="750">
      <c r="C750" s="5"/>
      <c r="F750" s="5"/>
      <c r="I750" s="5"/>
    </row>
    <row r="751">
      <c r="C751" s="5"/>
      <c r="F751" s="5"/>
      <c r="I751" s="5"/>
    </row>
    <row r="752">
      <c r="C752" s="5"/>
      <c r="F752" s="5"/>
      <c r="I752" s="5"/>
    </row>
    <row r="753">
      <c r="C753" s="5"/>
      <c r="F753" s="5"/>
      <c r="I753" s="5"/>
    </row>
    <row r="754">
      <c r="C754" s="5"/>
      <c r="F754" s="5"/>
      <c r="I754" s="5"/>
    </row>
    <row r="755">
      <c r="C755" s="5"/>
      <c r="F755" s="5"/>
      <c r="I755" s="5"/>
    </row>
    <row r="756">
      <c r="C756" s="5"/>
      <c r="F756" s="5"/>
      <c r="I756" s="5"/>
    </row>
    <row r="757">
      <c r="C757" s="5"/>
      <c r="F757" s="5"/>
      <c r="I757" s="5"/>
    </row>
    <row r="758">
      <c r="C758" s="5"/>
      <c r="F758" s="5"/>
      <c r="I758" s="5"/>
    </row>
    <row r="759">
      <c r="C759" s="5"/>
      <c r="F759" s="5"/>
      <c r="I759" s="5"/>
    </row>
    <row r="760">
      <c r="C760" s="5"/>
      <c r="F760" s="5"/>
      <c r="I760" s="5"/>
    </row>
    <row r="761">
      <c r="C761" s="5"/>
      <c r="F761" s="5"/>
      <c r="I761" s="5"/>
    </row>
    <row r="762">
      <c r="C762" s="5"/>
      <c r="F762" s="5"/>
      <c r="I762" s="5"/>
    </row>
    <row r="763">
      <c r="C763" s="5"/>
      <c r="F763" s="5"/>
      <c r="I763" s="5"/>
    </row>
    <row r="764">
      <c r="C764" s="5"/>
      <c r="F764" s="5"/>
      <c r="I764" s="5"/>
    </row>
    <row r="765">
      <c r="C765" s="5"/>
      <c r="F765" s="5"/>
      <c r="I765" s="5"/>
    </row>
    <row r="766">
      <c r="C766" s="5"/>
      <c r="F766" s="5"/>
      <c r="I766" s="5"/>
    </row>
    <row r="767">
      <c r="C767" s="5"/>
      <c r="F767" s="5"/>
      <c r="I767" s="5"/>
    </row>
    <row r="768">
      <c r="C768" s="5"/>
      <c r="F768" s="5"/>
      <c r="I768" s="5"/>
    </row>
    <row r="769">
      <c r="C769" s="5"/>
      <c r="F769" s="5"/>
      <c r="I769" s="5"/>
    </row>
    <row r="770">
      <c r="C770" s="5"/>
      <c r="F770" s="5"/>
      <c r="I770" s="5"/>
    </row>
    <row r="771">
      <c r="C771" s="5"/>
      <c r="F771" s="5"/>
      <c r="I771" s="5"/>
    </row>
    <row r="772">
      <c r="C772" s="5"/>
      <c r="F772" s="5"/>
      <c r="I772" s="5"/>
    </row>
    <row r="773">
      <c r="C773" s="5"/>
      <c r="F773" s="5"/>
      <c r="I773" s="5"/>
    </row>
    <row r="774">
      <c r="C774" s="5"/>
      <c r="F774" s="5"/>
      <c r="I774" s="5"/>
    </row>
    <row r="775">
      <c r="C775" s="5"/>
      <c r="F775" s="5"/>
      <c r="I775" s="5"/>
    </row>
    <row r="776">
      <c r="C776" s="5"/>
      <c r="F776" s="5"/>
      <c r="I776" s="5"/>
    </row>
    <row r="777">
      <c r="C777" s="5"/>
      <c r="F777" s="5"/>
      <c r="I777" s="5"/>
    </row>
    <row r="778">
      <c r="C778" s="5"/>
      <c r="F778" s="5"/>
      <c r="I778" s="5"/>
    </row>
    <row r="779">
      <c r="C779" s="5"/>
      <c r="F779" s="5"/>
      <c r="I779" s="5"/>
    </row>
    <row r="780">
      <c r="C780" s="5"/>
      <c r="F780" s="5"/>
      <c r="I780" s="5"/>
    </row>
    <row r="781">
      <c r="C781" s="5"/>
      <c r="F781" s="5"/>
      <c r="I781" s="5"/>
    </row>
    <row r="782">
      <c r="C782" s="5"/>
      <c r="F782" s="5"/>
      <c r="I782" s="5"/>
    </row>
    <row r="783">
      <c r="C783" s="5"/>
      <c r="F783" s="5"/>
      <c r="I783" s="5"/>
    </row>
    <row r="784">
      <c r="C784" s="5"/>
      <c r="F784" s="5"/>
      <c r="I784" s="5"/>
    </row>
    <row r="785">
      <c r="C785" s="5"/>
      <c r="F785" s="5"/>
      <c r="I785" s="5"/>
    </row>
    <row r="786">
      <c r="C786" s="5"/>
      <c r="F786" s="5"/>
      <c r="I786" s="5"/>
    </row>
    <row r="787">
      <c r="C787" s="5"/>
      <c r="F787" s="5"/>
      <c r="I787" s="5"/>
    </row>
    <row r="788">
      <c r="C788" s="5"/>
      <c r="F788" s="5"/>
      <c r="I788" s="5"/>
    </row>
    <row r="789">
      <c r="C789" s="5"/>
      <c r="F789" s="5"/>
      <c r="I789" s="5"/>
    </row>
    <row r="790">
      <c r="C790" s="5"/>
      <c r="F790" s="5"/>
      <c r="I790" s="5"/>
    </row>
    <row r="791">
      <c r="C791" s="5"/>
      <c r="F791" s="5"/>
      <c r="I791" s="5"/>
    </row>
    <row r="792">
      <c r="C792" s="5"/>
      <c r="F792" s="5"/>
      <c r="I792" s="5"/>
    </row>
    <row r="793">
      <c r="C793" s="5"/>
      <c r="F793" s="5"/>
      <c r="I793" s="5"/>
    </row>
    <row r="794">
      <c r="C794" s="5"/>
      <c r="F794" s="5"/>
      <c r="I794" s="5"/>
    </row>
    <row r="795">
      <c r="C795" s="5"/>
      <c r="F795" s="5"/>
      <c r="I795" s="5"/>
    </row>
    <row r="796">
      <c r="C796" s="5"/>
      <c r="F796" s="5"/>
      <c r="I796" s="5"/>
    </row>
    <row r="797">
      <c r="C797" s="5"/>
      <c r="F797" s="5"/>
      <c r="I797" s="5"/>
    </row>
    <row r="798">
      <c r="C798" s="5"/>
      <c r="F798" s="5"/>
      <c r="I798" s="5"/>
    </row>
    <row r="799">
      <c r="C799" s="5"/>
      <c r="F799" s="5"/>
      <c r="I799" s="5"/>
    </row>
    <row r="800">
      <c r="C800" s="5"/>
      <c r="F800" s="5"/>
      <c r="I800" s="5"/>
    </row>
    <row r="801">
      <c r="C801" s="5"/>
      <c r="F801" s="5"/>
      <c r="I801" s="5"/>
    </row>
    <row r="802">
      <c r="C802" s="5"/>
      <c r="F802" s="5"/>
      <c r="I802" s="5"/>
    </row>
    <row r="803">
      <c r="C803" s="5"/>
      <c r="F803" s="5"/>
      <c r="I803" s="5"/>
    </row>
    <row r="804">
      <c r="C804" s="5"/>
      <c r="F804" s="5"/>
      <c r="I804" s="5"/>
    </row>
    <row r="805">
      <c r="C805" s="5"/>
      <c r="F805" s="5"/>
      <c r="I805" s="5"/>
    </row>
    <row r="806">
      <c r="C806" s="5"/>
      <c r="F806" s="5"/>
      <c r="I806" s="5"/>
    </row>
    <row r="807">
      <c r="C807" s="5"/>
      <c r="F807" s="5"/>
      <c r="I807" s="5"/>
    </row>
    <row r="808">
      <c r="C808" s="5"/>
      <c r="F808" s="5"/>
      <c r="I808" s="5"/>
    </row>
    <row r="809">
      <c r="C809" s="5"/>
      <c r="F809" s="5"/>
      <c r="I809" s="5"/>
    </row>
    <row r="810">
      <c r="C810" s="5"/>
      <c r="F810" s="5"/>
      <c r="I810" s="5"/>
    </row>
    <row r="811">
      <c r="C811" s="5"/>
      <c r="F811" s="5"/>
      <c r="I811" s="5"/>
    </row>
    <row r="812">
      <c r="C812" s="5"/>
      <c r="F812" s="5"/>
      <c r="I812" s="5"/>
    </row>
    <row r="813">
      <c r="C813" s="5"/>
      <c r="F813" s="5"/>
      <c r="I813" s="5"/>
    </row>
    <row r="814">
      <c r="C814" s="5"/>
      <c r="F814" s="5"/>
      <c r="I814" s="5"/>
    </row>
    <row r="815">
      <c r="C815" s="5"/>
      <c r="F815" s="5"/>
      <c r="I815" s="5"/>
    </row>
    <row r="816">
      <c r="C816" s="5"/>
      <c r="F816" s="5"/>
      <c r="I816" s="5"/>
    </row>
    <row r="817">
      <c r="C817" s="5"/>
      <c r="F817" s="5"/>
      <c r="I817" s="5"/>
    </row>
    <row r="818">
      <c r="C818" s="5"/>
      <c r="F818" s="5"/>
      <c r="I818" s="5"/>
    </row>
    <row r="819">
      <c r="C819" s="5"/>
      <c r="F819" s="5"/>
      <c r="I819" s="5"/>
    </row>
    <row r="820">
      <c r="C820" s="5"/>
      <c r="F820" s="5"/>
      <c r="I820" s="5"/>
    </row>
    <row r="821">
      <c r="C821" s="5"/>
      <c r="F821" s="5"/>
      <c r="I821" s="5"/>
    </row>
    <row r="822">
      <c r="C822" s="5"/>
      <c r="F822" s="5"/>
      <c r="I822" s="5"/>
    </row>
    <row r="823">
      <c r="C823" s="5"/>
      <c r="F823" s="5"/>
      <c r="I823" s="5"/>
    </row>
    <row r="824">
      <c r="C824" s="5"/>
      <c r="F824" s="5"/>
      <c r="I824" s="5"/>
    </row>
    <row r="825">
      <c r="C825" s="5"/>
      <c r="F825" s="5"/>
      <c r="I825" s="5"/>
    </row>
    <row r="826">
      <c r="C826" s="5"/>
      <c r="F826" s="5"/>
      <c r="I826" s="5"/>
    </row>
    <row r="827">
      <c r="C827" s="5"/>
      <c r="F827" s="5"/>
      <c r="I827" s="5"/>
    </row>
    <row r="828">
      <c r="C828" s="5"/>
      <c r="F828" s="5"/>
      <c r="I828" s="5"/>
    </row>
    <row r="829">
      <c r="C829" s="5"/>
      <c r="F829" s="5"/>
      <c r="I829" s="5"/>
    </row>
    <row r="830">
      <c r="C830" s="5"/>
      <c r="F830" s="5"/>
      <c r="I830" s="5"/>
    </row>
    <row r="831">
      <c r="C831" s="5"/>
      <c r="F831" s="5"/>
      <c r="I831" s="5"/>
    </row>
    <row r="832">
      <c r="C832" s="5"/>
      <c r="F832" s="5"/>
      <c r="I832" s="5"/>
    </row>
    <row r="833">
      <c r="C833" s="5"/>
      <c r="F833" s="5"/>
      <c r="I833" s="5"/>
    </row>
    <row r="834">
      <c r="C834" s="5"/>
      <c r="F834" s="5"/>
      <c r="I834" s="5"/>
    </row>
    <row r="835">
      <c r="C835" s="5"/>
      <c r="F835" s="5"/>
      <c r="I835" s="5"/>
    </row>
    <row r="836">
      <c r="C836" s="5"/>
      <c r="F836" s="5"/>
      <c r="I836" s="5"/>
    </row>
    <row r="837">
      <c r="C837" s="5"/>
      <c r="F837" s="5"/>
      <c r="I837" s="5"/>
    </row>
    <row r="838">
      <c r="C838" s="5"/>
      <c r="F838" s="5"/>
      <c r="I838" s="5"/>
    </row>
    <row r="839">
      <c r="C839" s="5"/>
      <c r="F839" s="5"/>
      <c r="I839" s="5"/>
    </row>
    <row r="840">
      <c r="C840" s="5"/>
      <c r="F840" s="5"/>
      <c r="I840" s="5"/>
    </row>
    <row r="841">
      <c r="C841" s="5"/>
      <c r="F841" s="5"/>
      <c r="I841" s="5"/>
    </row>
    <row r="842">
      <c r="C842" s="5"/>
      <c r="F842" s="5"/>
      <c r="I842" s="5"/>
    </row>
    <row r="843">
      <c r="C843" s="5"/>
      <c r="F843" s="5"/>
      <c r="I843" s="5"/>
    </row>
    <row r="844">
      <c r="C844" s="5"/>
      <c r="F844" s="5"/>
      <c r="I844" s="5"/>
    </row>
    <row r="845">
      <c r="C845" s="5"/>
      <c r="F845" s="5"/>
      <c r="I845" s="5"/>
    </row>
    <row r="846">
      <c r="C846" s="5"/>
      <c r="F846" s="5"/>
      <c r="I846" s="5"/>
    </row>
    <row r="847">
      <c r="C847" s="5"/>
      <c r="F847" s="5"/>
      <c r="I847" s="5"/>
    </row>
    <row r="848">
      <c r="C848" s="5"/>
      <c r="F848" s="5"/>
      <c r="I848" s="5"/>
    </row>
    <row r="849">
      <c r="C849" s="5"/>
      <c r="F849" s="5"/>
      <c r="I849" s="5"/>
    </row>
    <row r="850">
      <c r="C850" s="5"/>
      <c r="F850" s="5"/>
      <c r="I850" s="5"/>
    </row>
    <row r="851">
      <c r="C851" s="5"/>
      <c r="F851" s="5"/>
      <c r="I851" s="5"/>
    </row>
    <row r="852">
      <c r="C852" s="5"/>
      <c r="F852" s="5"/>
      <c r="I852" s="5"/>
    </row>
    <row r="853">
      <c r="C853" s="5"/>
      <c r="F853" s="5"/>
      <c r="I853" s="5"/>
    </row>
    <row r="854">
      <c r="C854" s="5"/>
      <c r="F854" s="5"/>
      <c r="I854" s="5"/>
    </row>
    <row r="855">
      <c r="C855" s="5"/>
      <c r="F855" s="5"/>
      <c r="I855" s="5"/>
    </row>
    <row r="856">
      <c r="C856" s="5"/>
      <c r="F856" s="5"/>
      <c r="I856" s="5"/>
    </row>
    <row r="857">
      <c r="C857" s="5"/>
      <c r="F857" s="5"/>
      <c r="I857" s="5"/>
    </row>
    <row r="858">
      <c r="C858" s="5"/>
      <c r="F858" s="5"/>
      <c r="I858" s="5"/>
    </row>
    <row r="859">
      <c r="C859" s="5"/>
      <c r="F859" s="5"/>
      <c r="I859" s="5"/>
    </row>
    <row r="860">
      <c r="C860" s="5"/>
      <c r="F860" s="5"/>
      <c r="I860" s="5"/>
    </row>
    <row r="861">
      <c r="C861" s="5"/>
      <c r="F861" s="5"/>
      <c r="I861" s="5"/>
    </row>
    <row r="862">
      <c r="C862" s="5"/>
      <c r="F862" s="5"/>
      <c r="I862" s="5"/>
    </row>
    <row r="863">
      <c r="C863" s="5"/>
      <c r="F863" s="5"/>
      <c r="I863" s="5"/>
    </row>
    <row r="864">
      <c r="C864" s="5"/>
      <c r="F864" s="5"/>
      <c r="I864" s="5"/>
    </row>
    <row r="865">
      <c r="C865" s="5"/>
      <c r="F865" s="5"/>
      <c r="I865" s="5"/>
    </row>
    <row r="866">
      <c r="C866" s="5"/>
      <c r="F866" s="5"/>
      <c r="I866" s="5"/>
    </row>
    <row r="867">
      <c r="C867" s="5"/>
      <c r="F867" s="5"/>
      <c r="I867" s="5"/>
    </row>
    <row r="868">
      <c r="C868" s="5"/>
      <c r="F868" s="5"/>
      <c r="I868" s="5"/>
    </row>
    <row r="869">
      <c r="C869" s="5"/>
      <c r="F869" s="5"/>
      <c r="I869" s="5"/>
    </row>
    <row r="870">
      <c r="C870" s="5"/>
      <c r="F870" s="5"/>
      <c r="I870" s="5"/>
    </row>
    <row r="871">
      <c r="C871" s="5"/>
      <c r="F871" s="5"/>
      <c r="I871" s="5"/>
    </row>
    <row r="872">
      <c r="C872" s="5"/>
      <c r="F872" s="5"/>
      <c r="I872" s="5"/>
    </row>
    <row r="873">
      <c r="C873" s="5"/>
      <c r="F873" s="5"/>
      <c r="I873" s="5"/>
    </row>
    <row r="874">
      <c r="C874" s="5"/>
      <c r="F874" s="5"/>
      <c r="I874" s="5"/>
    </row>
    <row r="875">
      <c r="C875" s="5"/>
      <c r="F875" s="5"/>
      <c r="I875" s="5"/>
    </row>
    <row r="876">
      <c r="C876" s="5"/>
      <c r="F876" s="5"/>
      <c r="I876" s="5"/>
    </row>
    <row r="877">
      <c r="C877" s="5"/>
      <c r="F877" s="5"/>
      <c r="I877" s="5"/>
    </row>
    <row r="878">
      <c r="C878" s="5"/>
      <c r="F878" s="5"/>
      <c r="I878" s="5"/>
    </row>
    <row r="879">
      <c r="C879" s="5"/>
      <c r="F879" s="5"/>
      <c r="I879" s="5"/>
    </row>
    <row r="880">
      <c r="C880" s="5"/>
      <c r="F880" s="5"/>
      <c r="I880" s="5"/>
    </row>
    <row r="881">
      <c r="C881" s="5"/>
      <c r="F881" s="5"/>
      <c r="I881" s="5"/>
    </row>
    <row r="882">
      <c r="C882" s="5"/>
      <c r="F882" s="5"/>
      <c r="I882" s="5"/>
    </row>
    <row r="883">
      <c r="C883" s="5"/>
      <c r="F883" s="5"/>
      <c r="I883" s="5"/>
    </row>
    <row r="884">
      <c r="C884" s="5"/>
      <c r="F884" s="5"/>
      <c r="I884" s="5"/>
    </row>
    <row r="885">
      <c r="C885" s="5"/>
      <c r="F885" s="5"/>
      <c r="I885" s="5"/>
    </row>
    <row r="886">
      <c r="C886" s="5"/>
      <c r="F886" s="5"/>
      <c r="I886" s="5"/>
    </row>
    <row r="887">
      <c r="C887" s="5"/>
      <c r="F887" s="5"/>
      <c r="I887" s="5"/>
    </row>
    <row r="888">
      <c r="C888" s="5"/>
      <c r="F888" s="5"/>
      <c r="I888" s="5"/>
    </row>
    <row r="889">
      <c r="C889" s="5"/>
      <c r="F889" s="5"/>
      <c r="I889" s="5"/>
    </row>
    <row r="890">
      <c r="C890" s="5"/>
      <c r="F890" s="5"/>
      <c r="I890" s="5"/>
    </row>
    <row r="891">
      <c r="C891" s="5"/>
      <c r="F891" s="5"/>
      <c r="I891" s="5"/>
    </row>
    <row r="892">
      <c r="C892" s="5"/>
      <c r="F892" s="5"/>
      <c r="I892" s="5"/>
    </row>
    <row r="893">
      <c r="C893" s="5"/>
      <c r="F893" s="5"/>
      <c r="I893" s="5"/>
    </row>
    <row r="894">
      <c r="C894" s="5"/>
      <c r="F894" s="5"/>
      <c r="I894" s="5"/>
    </row>
    <row r="895">
      <c r="C895" s="5"/>
      <c r="F895" s="5"/>
      <c r="I895" s="5"/>
    </row>
    <row r="896">
      <c r="C896" s="5"/>
      <c r="F896" s="5"/>
      <c r="I896" s="5"/>
    </row>
    <row r="897">
      <c r="C897" s="5"/>
      <c r="F897" s="5"/>
      <c r="I897" s="5"/>
    </row>
    <row r="898">
      <c r="C898" s="5"/>
      <c r="F898" s="5"/>
      <c r="I898" s="5"/>
    </row>
    <row r="899">
      <c r="C899" s="5"/>
      <c r="F899" s="5"/>
      <c r="I899" s="5"/>
    </row>
    <row r="900">
      <c r="C900" s="5"/>
      <c r="F900" s="5"/>
      <c r="I900" s="5"/>
    </row>
    <row r="901">
      <c r="C901" s="5"/>
      <c r="F901" s="5"/>
      <c r="I901" s="5"/>
    </row>
    <row r="902">
      <c r="C902" s="5"/>
      <c r="F902" s="5"/>
      <c r="I902" s="5"/>
    </row>
    <row r="903">
      <c r="C903" s="5"/>
      <c r="F903" s="5"/>
      <c r="I903" s="5"/>
    </row>
    <row r="904">
      <c r="C904" s="5"/>
      <c r="F904" s="5"/>
      <c r="I904" s="5"/>
    </row>
    <row r="905">
      <c r="C905" s="5"/>
      <c r="F905" s="5"/>
      <c r="I905" s="5"/>
    </row>
    <row r="906">
      <c r="C906" s="5"/>
      <c r="F906" s="5"/>
      <c r="I906" s="5"/>
    </row>
    <row r="907">
      <c r="C907" s="5"/>
      <c r="F907" s="5"/>
      <c r="I907" s="5"/>
    </row>
    <row r="908">
      <c r="C908" s="5"/>
      <c r="F908" s="5"/>
      <c r="I908" s="5"/>
    </row>
    <row r="909">
      <c r="C909" s="5"/>
      <c r="F909" s="5"/>
      <c r="I909" s="5"/>
    </row>
    <row r="910">
      <c r="C910" s="5"/>
      <c r="F910" s="5"/>
      <c r="I910" s="5"/>
    </row>
    <row r="911">
      <c r="C911" s="5"/>
      <c r="F911" s="5"/>
      <c r="I911" s="5"/>
    </row>
    <row r="912">
      <c r="C912" s="5"/>
      <c r="F912" s="5"/>
      <c r="I912" s="5"/>
    </row>
    <row r="913">
      <c r="C913" s="5"/>
      <c r="F913" s="5"/>
      <c r="I913" s="5"/>
    </row>
    <row r="914">
      <c r="C914" s="5"/>
      <c r="F914" s="5"/>
      <c r="I914" s="5"/>
    </row>
    <row r="915">
      <c r="C915" s="5"/>
      <c r="F915" s="5"/>
      <c r="I915" s="5"/>
    </row>
    <row r="916">
      <c r="C916" s="5"/>
      <c r="F916" s="5"/>
      <c r="I916" s="5"/>
    </row>
    <row r="917">
      <c r="C917" s="5"/>
      <c r="F917" s="5"/>
      <c r="I917" s="5"/>
    </row>
    <row r="918">
      <c r="C918" s="5"/>
      <c r="F918" s="5"/>
      <c r="I918" s="5"/>
    </row>
    <row r="919">
      <c r="C919" s="5"/>
      <c r="F919" s="5"/>
      <c r="I919" s="5"/>
    </row>
    <row r="920">
      <c r="C920" s="5"/>
      <c r="F920" s="5"/>
      <c r="I920" s="5"/>
    </row>
    <row r="921">
      <c r="C921" s="5"/>
      <c r="F921" s="5"/>
      <c r="I921" s="5"/>
    </row>
    <row r="922">
      <c r="C922" s="5"/>
      <c r="F922" s="5"/>
      <c r="I922" s="5"/>
    </row>
    <row r="923">
      <c r="C923" s="5"/>
      <c r="F923" s="5"/>
      <c r="I923" s="5"/>
    </row>
    <row r="924">
      <c r="C924" s="5"/>
      <c r="F924" s="5"/>
      <c r="I924" s="5"/>
    </row>
    <row r="925">
      <c r="C925" s="5"/>
      <c r="F925" s="5"/>
      <c r="I925" s="5"/>
    </row>
    <row r="926">
      <c r="C926" s="5"/>
      <c r="F926" s="5"/>
      <c r="I926" s="5"/>
    </row>
    <row r="927">
      <c r="C927" s="5"/>
      <c r="F927" s="5"/>
      <c r="I927" s="5"/>
    </row>
    <row r="928">
      <c r="C928" s="5"/>
      <c r="F928" s="5"/>
      <c r="I928" s="5"/>
    </row>
    <row r="929">
      <c r="C929" s="5"/>
      <c r="F929" s="5"/>
      <c r="I929" s="5"/>
    </row>
    <row r="930">
      <c r="C930" s="5"/>
      <c r="F930" s="5"/>
      <c r="I930" s="5"/>
    </row>
    <row r="931">
      <c r="C931" s="5"/>
      <c r="F931" s="5"/>
      <c r="I931" s="5"/>
    </row>
    <row r="932">
      <c r="C932" s="5"/>
      <c r="F932" s="5"/>
      <c r="I932" s="5"/>
    </row>
    <row r="933">
      <c r="C933" s="5"/>
      <c r="F933" s="5"/>
      <c r="I933" s="5"/>
    </row>
    <row r="934">
      <c r="C934" s="5"/>
      <c r="F934" s="5"/>
      <c r="I934" s="5"/>
    </row>
    <row r="935">
      <c r="C935" s="5"/>
      <c r="F935" s="5"/>
      <c r="I935" s="5"/>
    </row>
    <row r="936">
      <c r="C936" s="5"/>
      <c r="F936" s="5"/>
      <c r="I936" s="5"/>
    </row>
    <row r="937">
      <c r="C937" s="5"/>
      <c r="F937" s="5"/>
      <c r="I937" s="5"/>
    </row>
    <row r="938">
      <c r="C938" s="5"/>
      <c r="F938" s="5"/>
      <c r="I938" s="5"/>
    </row>
    <row r="939">
      <c r="C939" s="5"/>
      <c r="F939" s="5"/>
      <c r="I939" s="5"/>
    </row>
    <row r="940">
      <c r="C940" s="5"/>
      <c r="F940" s="5"/>
      <c r="I940" s="5"/>
    </row>
    <row r="941">
      <c r="C941" s="5"/>
      <c r="F941" s="5"/>
      <c r="I941" s="5"/>
    </row>
    <row r="942">
      <c r="C942" s="5"/>
      <c r="F942" s="5"/>
      <c r="I942" s="5"/>
    </row>
    <row r="943">
      <c r="C943" s="5"/>
      <c r="F943" s="5"/>
      <c r="I943" s="5"/>
    </row>
    <row r="944">
      <c r="C944" s="5"/>
      <c r="F944" s="5"/>
      <c r="I944" s="5"/>
    </row>
    <row r="945">
      <c r="C945" s="5"/>
      <c r="F945" s="5"/>
      <c r="I945" s="5"/>
    </row>
    <row r="946">
      <c r="C946" s="5"/>
      <c r="F946" s="5"/>
      <c r="I946" s="5"/>
    </row>
    <row r="947">
      <c r="C947" s="5"/>
      <c r="F947" s="5"/>
      <c r="I947" s="5"/>
    </row>
    <row r="948">
      <c r="C948" s="5"/>
      <c r="F948" s="5"/>
      <c r="I948" s="5"/>
    </row>
    <row r="949">
      <c r="C949" s="5"/>
      <c r="F949" s="5"/>
      <c r="I949" s="5"/>
    </row>
    <row r="950">
      <c r="C950" s="5"/>
      <c r="F950" s="5"/>
      <c r="I950" s="5"/>
    </row>
    <row r="951">
      <c r="C951" s="5"/>
      <c r="F951" s="5"/>
      <c r="I951" s="5"/>
    </row>
    <row r="952">
      <c r="C952" s="5"/>
      <c r="F952" s="5"/>
      <c r="I952" s="5"/>
    </row>
    <row r="953">
      <c r="C953" s="5"/>
      <c r="F953" s="5"/>
      <c r="I953" s="5"/>
    </row>
    <row r="954">
      <c r="C954" s="5"/>
      <c r="F954" s="5"/>
      <c r="I954" s="5"/>
    </row>
    <row r="955">
      <c r="C955" s="5"/>
      <c r="F955" s="5"/>
      <c r="I955" s="5"/>
    </row>
    <row r="956">
      <c r="C956" s="5"/>
      <c r="F956" s="5"/>
      <c r="I956" s="5"/>
    </row>
    <row r="957">
      <c r="C957" s="5"/>
      <c r="F957" s="5"/>
      <c r="I957" s="5"/>
    </row>
    <row r="958">
      <c r="C958" s="5"/>
      <c r="F958" s="5"/>
      <c r="I958" s="5"/>
    </row>
    <row r="959">
      <c r="C959" s="5"/>
      <c r="F959" s="5"/>
      <c r="I959" s="5"/>
    </row>
    <row r="960">
      <c r="C960" s="5"/>
      <c r="F960" s="5"/>
      <c r="I960" s="5"/>
    </row>
    <row r="961">
      <c r="C961" s="5"/>
      <c r="F961" s="5"/>
      <c r="I961" s="5"/>
    </row>
    <row r="962">
      <c r="C962" s="5"/>
      <c r="F962" s="5"/>
      <c r="I962" s="5"/>
    </row>
    <row r="963">
      <c r="C963" s="5"/>
      <c r="F963" s="5"/>
      <c r="I963" s="5"/>
    </row>
    <row r="964">
      <c r="C964" s="5"/>
      <c r="F964" s="5"/>
      <c r="I964" s="5"/>
    </row>
    <row r="965">
      <c r="C965" s="5"/>
      <c r="F965" s="5"/>
      <c r="I965" s="5"/>
    </row>
    <row r="966">
      <c r="C966" s="5"/>
      <c r="F966" s="5"/>
      <c r="I966" s="5"/>
    </row>
    <row r="967">
      <c r="C967" s="5"/>
      <c r="F967" s="5"/>
      <c r="I967" s="5"/>
    </row>
    <row r="968">
      <c r="C968" s="5"/>
      <c r="F968" s="5"/>
      <c r="I968" s="5"/>
    </row>
    <row r="969">
      <c r="C969" s="5"/>
      <c r="F969" s="5"/>
      <c r="I969" s="5"/>
    </row>
    <row r="970">
      <c r="C970" s="5"/>
      <c r="F970" s="5"/>
      <c r="I970" s="5"/>
    </row>
    <row r="971">
      <c r="C971" s="5"/>
      <c r="F971" s="5"/>
      <c r="I971" s="5"/>
    </row>
    <row r="972">
      <c r="C972" s="5"/>
      <c r="F972" s="5"/>
      <c r="I972" s="5"/>
    </row>
    <row r="973">
      <c r="C973" s="5"/>
      <c r="F973" s="5"/>
      <c r="I973" s="5"/>
    </row>
    <row r="974">
      <c r="C974" s="5"/>
      <c r="F974" s="5"/>
      <c r="I974" s="5"/>
    </row>
    <row r="975">
      <c r="C975" s="5"/>
      <c r="F975" s="5"/>
      <c r="I975" s="5"/>
    </row>
    <row r="976">
      <c r="C976" s="5"/>
      <c r="F976" s="5"/>
      <c r="I976" s="5"/>
    </row>
    <row r="977">
      <c r="C977" s="5"/>
      <c r="F977" s="5"/>
      <c r="I977" s="5"/>
    </row>
    <row r="978">
      <c r="C978" s="5"/>
      <c r="F978" s="5"/>
      <c r="I978" s="5"/>
    </row>
    <row r="979">
      <c r="C979" s="5"/>
      <c r="F979" s="5"/>
      <c r="I979" s="5"/>
    </row>
    <row r="980">
      <c r="C980" s="5"/>
      <c r="F980" s="5"/>
      <c r="I980" s="5"/>
    </row>
    <row r="981">
      <c r="C981" s="5"/>
      <c r="F981" s="5"/>
      <c r="I981" s="5"/>
    </row>
    <row r="982">
      <c r="C982" s="5"/>
      <c r="F982" s="5"/>
      <c r="I982" s="5"/>
    </row>
    <row r="983">
      <c r="C983" s="5"/>
      <c r="F983" s="5"/>
      <c r="I983" s="5"/>
    </row>
    <row r="984">
      <c r="C984" s="5"/>
      <c r="F984" s="5"/>
      <c r="I984" s="5"/>
    </row>
    <row r="985">
      <c r="C985" s="5"/>
      <c r="F985" s="5"/>
      <c r="I985" s="5"/>
    </row>
    <row r="986">
      <c r="C986" s="5"/>
      <c r="F986" s="5"/>
      <c r="I986" s="5"/>
    </row>
    <row r="987">
      <c r="C987" s="5"/>
      <c r="F987" s="5"/>
      <c r="I987" s="5"/>
    </row>
    <row r="988">
      <c r="C988" s="5"/>
      <c r="F988" s="5"/>
      <c r="I988" s="5"/>
    </row>
    <row r="989">
      <c r="C989" s="5"/>
      <c r="F989" s="5"/>
      <c r="I989" s="5"/>
    </row>
    <row r="990">
      <c r="C990" s="5"/>
      <c r="F990" s="5"/>
      <c r="I990" s="5"/>
    </row>
    <row r="991">
      <c r="C991" s="5"/>
      <c r="F991" s="5"/>
      <c r="I991" s="5"/>
    </row>
    <row r="992">
      <c r="C992" s="5"/>
      <c r="F992" s="5"/>
      <c r="I992" s="5"/>
    </row>
    <row r="993">
      <c r="C993" s="5"/>
      <c r="F993" s="5"/>
      <c r="I993" s="5"/>
    </row>
    <row r="994">
      <c r="C994" s="5"/>
      <c r="F994" s="5"/>
      <c r="I994" s="5"/>
    </row>
    <row r="995">
      <c r="C995" s="5"/>
      <c r="F995" s="5"/>
      <c r="I995" s="5"/>
    </row>
    <row r="996">
      <c r="C996" s="5"/>
      <c r="F996" s="5"/>
      <c r="I996" s="5"/>
    </row>
    <row r="997">
      <c r="C997" s="5"/>
      <c r="F997" s="5"/>
      <c r="I997" s="5"/>
    </row>
    <row r="998">
      <c r="C998" s="5"/>
      <c r="F998" s="5"/>
      <c r="I998" s="5"/>
    </row>
    <row r="999">
      <c r="C999" s="5"/>
      <c r="F999" s="5"/>
      <c r="I999" s="5"/>
    </row>
    <row r="1000">
      <c r="C1000" s="5"/>
      <c r="F1000" s="5"/>
      <c r="I1000" s="5"/>
    </row>
  </sheetData>
  <mergeCells count="10">
    <mergeCell ref="F4:G4"/>
    <mergeCell ref="H4:H5"/>
    <mergeCell ref="A1:J1"/>
    <mergeCell ref="A2:J2"/>
    <mergeCell ref="A4:A5"/>
    <mergeCell ref="B4:B5"/>
    <mergeCell ref="C4:C5"/>
    <mergeCell ref="D4:D5"/>
    <mergeCell ref="E4:E5"/>
    <mergeCell ref="I4:J4"/>
  </mergeCells>
  <printOptions/>
  <pageMargins bottom="0.75" footer="0.0" header="0.0" left="0.7" right="0.7" top="0.75"/>
  <pageSetup paperSize="5" scale="81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0"/>
    <col customWidth="1" min="3" max="3" width="13.29"/>
    <col customWidth="1" min="4" max="4" width="8.71"/>
    <col customWidth="1" min="5" max="5" width="10.57"/>
    <col customWidth="1" min="6" max="6" width="25.57"/>
    <col customWidth="1" min="7" max="7" width="20.0"/>
    <col customWidth="1" min="8" max="8" width="11.14"/>
    <col customWidth="1" min="9" max="9" width="10.71"/>
    <col customWidth="1" min="10" max="10" width="7.29"/>
    <col customWidth="1" min="11" max="11" width="12.57"/>
    <col customWidth="1" min="12" max="13" width="8.71"/>
    <col customWidth="1" min="14" max="14" width="24.86"/>
    <col customWidth="1" min="15" max="15" width="11.14"/>
    <col customWidth="1" min="16" max="16" width="23.57"/>
    <col customWidth="1" min="17" max="17" width="11.57"/>
    <col customWidth="1" min="18" max="18" width="17.71"/>
    <col customWidth="1" min="19" max="19" width="25.0"/>
    <col customWidth="1" min="20" max="26" width="8.71"/>
  </cols>
  <sheetData>
    <row r="3">
      <c r="A3" s="191" t="s">
        <v>15</v>
      </c>
      <c r="B3" s="191" t="s">
        <v>19</v>
      </c>
      <c r="C3" s="191" t="s">
        <v>342</v>
      </c>
      <c r="D3" s="191" t="s">
        <v>343</v>
      </c>
      <c r="E3" s="191" t="s">
        <v>345</v>
      </c>
      <c r="F3" s="191" t="s">
        <v>346</v>
      </c>
      <c r="G3" s="192" t="s">
        <v>347</v>
      </c>
      <c r="H3" s="191" t="s">
        <v>348</v>
      </c>
      <c r="I3" s="191" t="s">
        <v>349</v>
      </c>
      <c r="J3" s="191" t="s">
        <v>5</v>
      </c>
      <c r="K3" s="193" t="s">
        <v>23</v>
      </c>
      <c r="L3" s="194" t="s">
        <v>27</v>
      </c>
      <c r="M3" s="31"/>
      <c r="N3" s="195" t="s">
        <v>350</v>
      </c>
      <c r="O3" s="31"/>
      <c r="P3" s="195" t="s">
        <v>351</v>
      </c>
      <c r="Q3" s="31"/>
      <c r="R3" s="196" t="s">
        <v>352</v>
      </c>
    </row>
    <row r="4">
      <c r="A4" s="36"/>
      <c r="B4" s="36"/>
      <c r="C4" s="36"/>
      <c r="D4" s="36"/>
      <c r="E4" s="36"/>
      <c r="F4" s="36"/>
      <c r="G4" s="38"/>
      <c r="H4" s="36"/>
      <c r="I4" s="36"/>
      <c r="J4" s="36"/>
      <c r="K4" s="197" t="s">
        <v>353</v>
      </c>
      <c r="L4" s="197" t="s">
        <v>57</v>
      </c>
      <c r="M4" s="197" t="s">
        <v>64</v>
      </c>
      <c r="N4" s="198" t="s">
        <v>354</v>
      </c>
      <c r="O4" s="199" t="s">
        <v>355</v>
      </c>
      <c r="P4" s="198" t="s">
        <v>354</v>
      </c>
      <c r="Q4" s="199" t="s">
        <v>355</v>
      </c>
      <c r="R4" s="36"/>
    </row>
    <row r="5" ht="16.5" customHeight="1">
      <c r="A5" s="41">
        <v>1.0</v>
      </c>
      <c r="B5" s="104" t="s">
        <v>10</v>
      </c>
      <c r="C5" s="112" t="s">
        <v>356</v>
      </c>
      <c r="D5" s="102" t="s">
        <v>357</v>
      </c>
      <c r="E5" s="41" t="s">
        <v>83</v>
      </c>
      <c r="F5" s="15" t="s">
        <v>14</v>
      </c>
      <c r="G5" s="200" t="s">
        <v>11</v>
      </c>
      <c r="H5" s="201">
        <v>37591.0</v>
      </c>
      <c r="I5" s="201">
        <v>38078.0</v>
      </c>
      <c r="J5" s="48" t="s">
        <v>12</v>
      </c>
      <c r="K5" s="47">
        <v>44835.0</v>
      </c>
      <c r="L5" s="84">
        <v>21.0</v>
      </c>
      <c r="M5" s="90">
        <v>10.0</v>
      </c>
      <c r="N5" s="202" t="s">
        <v>358</v>
      </c>
      <c r="O5" s="203">
        <v>46500.0</v>
      </c>
      <c r="P5" s="204" t="s">
        <v>359</v>
      </c>
      <c r="Q5" s="205">
        <v>46500.0</v>
      </c>
      <c r="R5" s="206" t="s">
        <v>360</v>
      </c>
    </row>
    <row r="6" ht="16.5" customHeight="1">
      <c r="A6" s="46">
        <v>2.0</v>
      </c>
      <c r="B6" s="142" t="s">
        <v>16</v>
      </c>
      <c r="C6" s="112" t="s">
        <v>356</v>
      </c>
      <c r="D6" s="54" t="s">
        <v>361</v>
      </c>
      <c r="E6" s="46" t="s">
        <v>83</v>
      </c>
      <c r="F6" s="23" t="s">
        <v>20</v>
      </c>
      <c r="G6" s="18" t="s">
        <v>17</v>
      </c>
      <c r="H6" s="201">
        <v>39845.0</v>
      </c>
      <c r="I6" s="201">
        <v>40544.0</v>
      </c>
      <c r="J6" s="48" t="s">
        <v>18</v>
      </c>
      <c r="K6" s="58">
        <v>45017.0</v>
      </c>
      <c r="L6" s="84">
        <v>14.0</v>
      </c>
      <c r="M6" s="90">
        <v>2.0</v>
      </c>
      <c r="N6" s="207">
        <v>3.52210042202257E15</v>
      </c>
      <c r="O6" s="205">
        <v>46542.0</v>
      </c>
      <c r="P6" s="204" t="s">
        <v>362</v>
      </c>
      <c r="Q6" s="205">
        <v>46542.0</v>
      </c>
      <c r="R6" s="204"/>
      <c r="S6" s="208">
        <v>3.52210042202257E15</v>
      </c>
    </row>
    <row r="7" ht="16.5" customHeight="1">
      <c r="A7" s="41">
        <v>3.0</v>
      </c>
      <c r="B7" s="142" t="s">
        <v>88</v>
      </c>
      <c r="C7" s="112" t="s">
        <v>356</v>
      </c>
      <c r="D7" s="54" t="s">
        <v>363</v>
      </c>
      <c r="E7" s="46" t="s">
        <v>109</v>
      </c>
      <c r="F7" s="23" t="s">
        <v>106</v>
      </c>
      <c r="G7" s="209" t="s">
        <v>103</v>
      </c>
      <c r="H7" s="201">
        <v>32448.0</v>
      </c>
      <c r="I7" s="201">
        <v>33178.0</v>
      </c>
      <c r="J7" s="48" t="s">
        <v>26</v>
      </c>
      <c r="K7" s="58">
        <v>41548.0</v>
      </c>
      <c r="L7" s="84">
        <v>19.0</v>
      </c>
      <c r="M7" s="90">
        <v>11.0</v>
      </c>
      <c r="N7" s="204" t="s">
        <v>364</v>
      </c>
      <c r="O7" s="205">
        <v>46736.0</v>
      </c>
      <c r="P7" s="204" t="s">
        <v>365</v>
      </c>
      <c r="Q7" s="205">
        <v>46736.0</v>
      </c>
      <c r="R7" s="204"/>
    </row>
    <row r="8" ht="16.5" customHeight="1">
      <c r="A8" s="46">
        <v>4.0</v>
      </c>
      <c r="B8" s="142" t="s">
        <v>22</v>
      </c>
      <c r="C8" s="112" t="s">
        <v>356</v>
      </c>
      <c r="D8" s="54" t="s">
        <v>366</v>
      </c>
      <c r="E8" s="46" t="s">
        <v>109</v>
      </c>
      <c r="F8" s="23" t="s">
        <v>123</v>
      </c>
      <c r="G8" s="209" t="s">
        <v>24</v>
      </c>
      <c r="H8" s="201">
        <v>33664.0</v>
      </c>
      <c r="I8" s="201">
        <v>34394.0</v>
      </c>
      <c r="J8" s="48" t="s">
        <v>26</v>
      </c>
      <c r="K8" s="58">
        <v>42278.0</v>
      </c>
      <c r="L8" s="84">
        <v>18.0</v>
      </c>
      <c r="M8" s="90">
        <v>7.0</v>
      </c>
      <c r="N8" s="204" t="s">
        <v>367</v>
      </c>
      <c r="O8" s="205">
        <v>46515.0</v>
      </c>
      <c r="P8" s="204" t="s">
        <v>368</v>
      </c>
      <c r="Q8" s="205">
        <v>46515.0</v>
      </c>
      <c r="R8" s="204"/>
    </row>
    <row r="9" ht="16.5" customHeight="1">
      <c r="A9" s="41">
        <v>5.0</v>
      </c>
      <c r="B9" s="142" t="s">
        <v>32</v>
      </c>
      <c r="C9" s="112" t="s">
        <v>356</v>
      </c>
      <c r="D9" s="54" t="s">
        <v>369</v>
      </c>
      <c r="E9" s="46" t="s">
        <v>109</v>
      </c>
      <c r="F9" s="23" t="s">
        <v>34</v>
      </c>
      <c r="G9" s="209" t="s">
        <v>33</v>
      </c>
      <c r="H9" s="201">
        <v>33664.0</v>
      </c>
      <c r="I9" s="112"/>
      <c r="J9" s="48" t="s">
        <v>26</v>
      </c>
      <c r="K9" s="58">
        <v>42644.0</v>
      </c>
      <c r="L9" s="84">
        <v>19.0</v>
      </c>
      <c r="M9" s="90">
        <v>7.0</v>
      </c>
      <c r="N9" s="210" t="s">
        <v>370</v>
      </c>
      <c r="O9" s="205">
        <v>45229.0</v>
      </c>
      <c r="P9" s="204" t="s">
        <v>371</v>
      </c>
      <c r="Q9" s="205">
        <v>45229.0</v>
      </c>
      <c r="R9" s="211"/>
    </row>
    <row r="10" ht="16.5" customHeight="1">
      <c r="A10" s="46">
        <v>6.0</v>
      </c>
      <c r="B10" s="142" t="s">
        <v>35</v>
      </c>
      <c r="C10" s="112" t="s">
        <v>356</v>
      </c>
      <c r="D10" s="212">
        <v>25958.0</v>
      </c>
      <c r="E10" s="46" t="s">
        <v>134</v>
      </c>
      <c r="F10" s="23" t="s">
        <v>37</v>
      </c>
      <c r="G10" s="209" t="s">
        <v>36</v>
      </c>
      <c r="H10" s="201">
        <v>33664.0</v>
      </c>
      <c r="I10" s="201">
        <v>34394.0</v>
      </c>
      <c r="J10" s="48" t="s">
        <v>26</v>
      </c>
      <c r="K10" s="58">
        <v>44470.0</v>
      </c>
      <c r="L10" s="84">
        <v>24.0</v>
      </c>
      <c r="M10" s="90">
        <v>7.0</v>
      </c>
      <c r="N10" s="211" t="s">
        <v>372</v>
      </c>
      <c r="O10" s="205">
        <v>46412.0</v>
      </c>
      <c r="P10" s="213"/>
      <c r="Q10" s="214"/>
      <c r="R10" s="215" t="s">
        <v>373</v>
      </c>
    </row>
    <row r="11" ht="16.5" customHeight="1">
      <c r="A11" s="41">
        <v>7.0</v>
      </c>
      <c r="B11" s="142" t="s">
        <v>39</v>
      </c>
      <c r="C11" s="112" t="s">
        <v>374</v>
      </c>
      <c r="D11" s="212">
        <v>29771.0</v>
      </c>
      <c r="E11" s="46" t="s">
        <v>83</v>
      </c>
      <c r="F11" s="23" t="s">
        <v>375</v>
      </c>
      <c r="G11" s="209" t="s">
        <v>40</v>
      </c>
      <c r="H11" s="201">
        <v>39814.0</v>
      </c>
      <c r="I11" s="201">
        <v>40513.0</v>
      </c>
      <c r="J11" s="48" t="s">
        <v>26</v>
      </c>
      <c r="K11" s="58">
        <v>43922.0</v>
      </c>
      <c r="L11" s="84">
        <v>11.0</v>
      </c>
      <c r="M11" s="90">
        <v>3.0</v>
      </c>
      <c r="N11" s="216" t="s">
        <v>376</v>
      </c>
      <c r="O11" s="217">
        <v>46207.0</v>
      </c>
      <c r="P11" s="218" t="s">
        <v>377</v>
      </c>
      <c r="Q11" s="217">
        <v>46207.0</v>
      </c>
      <c r="R11" s="216"/>
    </row>
    <row r="12" ht="16.5" customHeight="1">
      <c r="A12" s="46">
        <v>8.0</v>
      </c>
      <c r="B12" s="142" t="s">
        <v>49</v>
      </c>
      <c r="C12" s="112" t="s">
        <v>356</v>
      </c>
      <c r="D12" s="54" t="s">
        <v>378</v>
      </c>
      <c r="E12" s="46" t="s">
        <v>109</v>
      </c>
      <c r="F12" s="23" t="s">
        <v>54</v>
      </c>
      <c r="G12" s="209" t="s">
        <v>50</v>
      </c>
      <c r="H12" s="201">
        <v>36220.0</v>
      </c>
      <c r="I12" s="201">
        <v>36892.0</v>
      </c>
      <c r="J12" s="48" t="s">
        <v>116</v>
      </c>
      <c r="K12" s="58">
        <v>44470.0</v>
      </c>
      <c r="L12" s="84">
        <v>17.0</v>
      </c>
      <c r="M12" s="90">
        <v>7.0</v>
      </c>
      <c r="N12" s="219" t="s">
        <v>379</v>
      </c>
      <c r="O12" s="203">
        <v>44812.0</v>
      </c>
      <c r="P12" s="220" t="s">
        <v>380</v>
      </c>
      <c r="Q12" s="203">
        <v>44812.0</v>
      </c>
      <c r="R12" s="215" t="s">
        <v>381</v>
      </c>
    </row>
    <row r="13" ht="16.5" customHeight="1">
      <c r="A13" s="41">
        <v>9.0</v>
      </c>
      <c r="B13" s="142" t="s">
        <v>382</v>
      </c>
      <c r="C13" s="112" t="s">
        <v>383</v>
      </c>
      <c r="D13" s="54" t="s">
        <v>384</v>
      </c>
      <c r="E13" s="46" t="s">
        <v>222</v>
      </c>
      <c r="F13" s="23" t="s">
        <v>385</v>
      </c>
      <c r="G13" s="209" t="s">
        <v>386</v>
      </c>
      <c r="H13" s="201">
        <v>32143.0</v>
      </c>
      <c r="I13" s="201">
        <v>33420.0</v>
      </c>
      <c r="J13" s="48" t="s">
        <v>63</v>
      </c>
      <c r="K13" s="58">
        <v>39904.0</v>
      </c>
      <c r="L13" s="84">
        <v>16.0</v>
      </c>
      <c r="M13" s="90">
        <v>3.0</v>
      </c>
      <c r="N13" s="222"/>
      <c r="O13" s="223"/>
      <c r="P13" s="224"/>
      <c r="Q13" s="223"/>
      <c r="R13" s="216"/>
    </row>
    <row r="14" ht="16.5" customHeight="1">
      <c r="A14" s="46">
        <v>10.0</v>
      </c>
      <c r="B14" s="142" t="s">
        <v>61</v>
      </c>
      <c r="C14" s="112" t="s">
        <v>388</v>
      </c>
      <c r="D14" s="54" t="s">
        <v>389</v>
      </c>
      <c r="E14" s="46" t="s">
        <v>109</v>
      </c>
      <c r="F14" s="23" t="s">
        <v>390</v>
      </c>
      <c r="G14" s="209" t="s">
        <v>62</v>
      </c>
      <c r="H14" s="201">
        <v>40179.0</v>
      </c>
      <c r="I14" s="201">
        <v>40878.0</v>
      </c>
      <c r="J14" s="48" t="s">
        <v>63</v>
      </c>
      <c r="K14" s="58" t="s">
        <v>391</v>
      </c>
      <c r="L14" s="84">
        <v>10.0</v>
      </c>
      <c r="M14" s="90">
        <v>3.0</v>
      </c>
      <c r="N14" s="211" t="s">
        <v>392</v>
      </c>
      <c r="O14" s="205">
        <v>46718.0</v>
      </c>
      <c r="P14" s="220" t="s">
        <v>393</v>
      </c>
      <c r="Q14" s="203">
        <v>44892.0</v>
      </c>
      <c r="R14" s="215" t="s">
        <v>394</v>
      </c>
    </row>
    <row r="15" ht="16.5" customHeight="1">
      <c r="A15" s="41">
        <v>11.0</v>
      </c>
      <c r="B15" s="142" t="s">
        <v>66</v>
      </c>
      <c r="C15" s="112" t="s">
        <v>395</v>
      </c>
      <c r="D15" s="212">
        <v>35134.0</v>
      </c>
      <c r="E15" s="46" t="s">
        <v>83</v>
      </c>
      <c r="F15" s="23" t="s">
        <v>68</v>
      </c>
      <c r="G15" s="209" t="s">
        <v>67</v>
      </c>
      <c r="H15" s="201">
        <v>44621.0</v>
      </c>
      <c r="I15" s="201">
        <v>44986.0</v>
      </c>
      <c r="J15" s="48" t="s">
        <v>160</v>
      </c>
      <c r="K15" s="58">
        <v>44986.0</v>
      </c>
      <c r="L15" s="84">
        <v>1.0</v>
      </c>
      <c r="M15" s="90">
        <v>0.0</v>
      </c>
      <c r="N15" s="225">
        <v>3.51110012021955E15</v>
      </c>
      <c r="O15" s="205">
        <v>45361.0</v>
      </c>
      <c r="P15" s="204" t="s">
        <v>396</v>
      </c>
      <c r="Q15" s="205">
        <v>45361.0</v>
      </c>
      <c r="R15" s="211"/>
    </row>
    <row r="16" ht="16.5" customHeight="1">
      <c r="A16" s="46">
        <v>12.0</v>
      </c>
      <c r="B16" s="142" t="s">
        <v>69</v>
      </c>
      <c r="C16" s="112" t="s">
        <v>356</v>
      </c>
      <c r="D16" s="54" t="s">
        <v>397</v>
      </c>
      <c r="E16" s="46" t="s">
        <v>109</v>
      </c>
      <c r="F16" s="23" t="s">
        <v>71</v>
      </c>
      <c r="G16" s="209" t="s">
        <v>70</v>
      </c>
      <c r="H16" s="201">
        <v>38808.0</v>
      </c>
      <c r="I16" s="201">
        <v>39539.0</v>
      </c>
      <c r="J16" s="48" t="s">
        <v>140</v>
      </c>
      <c r="K16" s="58">
        <v>44470.0</v>
      </c>
      <c r="L16" s="84">
        <v>22.0</v>
      </c>
      <c r="M16" s="90">
        <v>0.0</v>
      </c>
      <c r="N16" s="211" t="s">
        <v>398</v>
      </c>
      <c r="O16" s="205">
        <v>46818.0</v>
      </c>
      <c r="P16" s="220" t="s">
        <v>399</v>
      </c>
      <c r="Q16" s="203">
        <v>44626.0</v>
      </c>
      <c r="R16" s="215" t="s">
        <v>394</v>
      </c>
    </row>
    <row r="17" ht="16.5" customHeight="1">
      <c r="A17" s="41">
        <v>13.0</v>
      </c>
      <c r="B17" s="142" t="s">
        <v>72</v>
      </c>
      <c r="C17" s="112" t="s">
        <v>356</v>
      </c>
      <c r="D17" s="54" t="s">
        <v>400</v>
      </c>
      <c r="E17" s="46" t="s">
        <v>109</v>
      </c>
      <c r="F17" s="23" t="s">
        <v>71</v>
      </c>
      <c r="G17" s="209" t="s">
        <v>73</v>
      </c>
      <c r="H17" s="201">
        <v>38808.0</v>
      </c>
      <c r="I17" s="201">
        <v>39539.0</v>
      </c>
      <c r="J17" s="48" t="s">
        <v>140</v>
      </c>
      <c r="K17" s="58">
        <v>44470.0</v>
      </c>
      <c r="L17" s="84">
        <v>22.0</v>
      </c>
      <c r="M17" s="90">
        <v>0.0</v>
      </c>
      <c r="N17" s="211" t="s">
        <v>401</v>
      </c>
      <c r="O17" s="205">
        <v>46605.0</v>
      </c>
      <c r="P17" s="204" t="s">
        <v>402</v>
      </c>
      <c r="Q17" s="226" t="s">
        <v>403</v>
      </c>
      <c r="R17" s="211"/>
    </row>
    <row r="18" ht="16.5" customHeight="1">
      <c r="A18" s="46">
        <v>14.0</v>
      </c>
      <c r="B18" s="142" t="s">
        <v>75</v>
      </c>
      <c r="C18" s="112" t="s">
        <v>388</v>
      </c>
      <c r="D18" s="212">
        <v>27334.0</v>
      </c>
      <c r="E18" s="46" t="s">
        <v>109</v>
      </c>
      <c r="F18" s="23" t="s">
        <v>71</v>
      </c>
      <c r="G18" s="209" t="s">
        <v>76</v>
      </c>
      <c r="H18" s="201">
        <v>38808.0</v>
      </c>
      <c r="I18" s="201">
        <v>39539.0</v>
      </c>
      <c r="J18" s="48" t="s">
        <v>140</v>
      </c>
      <c r="K18" s="58">
        <v>44470.0</v>
      </c>
      <c r="L18" s="84">
        <v>23.0</v>
      </c>
      <c r="M18" s="90">
        <v>0.0</v>
      </c>
      <c r="N18" s="211" t="s">
        <v>404</v>
      </c>
      <c r="O18" s="205">
        <v>46692.0</v>
      </c>
      <c r="P18" s="204" t="s">
        <v>405</v>
      </c>
      <c r="Q18" s="205">
        <v>46692.0</v>
      </c>
      <c r="R18" s="211"/>
    </row>
    <row r="19" ht="16.5" customHeight="1">
      <c r="A19" s="41">
        <v>15.0</v>
      </c>
      <c r="B19" s="142" t="s">
        <v>77</v>
      </c>
      <c r="C19" s="112" t="s">
        <v>388</v>
      </c>
      <c r="D19" s="54" t="s">
        <v>407</v>
      </c>
      <c r="E19" s="46" t="s">
        <v>109</v>
      </c>
      <c r="F19" s="23" t="s">
        <v>71</v>
      </c>
      <c r="G19" s="209" t="s">
        <v>78</v>
      </c>
      <c r="H19" s="201">
        <v>38808.0</v>
      </c>
      <c r="I19" s="201">
        <v>39539.0</v>
      </c>
      <c r="J19" s="48" t="s">
        <v>140</v>
      </c>
      <c r="K19" s="58">
        <v>44470.0</v>
      </c>
      <c r="L19" s="84">
        <v>21.0</v>
      </c>
      <c r="M19" s="90">
        <v>0.0</v>
      </c>
      <c r="N19" s="210" t="s">
        <v>408</v>
      </c>
      <c r="O19" s="205">
        <v>46461.0</v>
      </c>
      <c r="P19" s="204" t="s">
        <v>409</v>
      </c>
      <c r="Q19" s="205">
        <v>46461.0</v>
      </c>
      <c r="R19" s="211"/>
    </row>
    <row r="20" ht="16.5" customHeight="1">
      <c r="A20" s="46">
        <v>16.0</v>
      </c>
      <c r="B20" s="183" t="s">
        <v>80</v>
      </c>
      <c r="C20" s="112" t="s">
        <v>410</v>
      </c>
      <c r="D20" s="90" t="s">
        <v>411</v>
      </c>
      <c r="E20" s="87" t="s">
        <v>109</v>
      </c>
      <c r="F20" s="86" t="s">
        <v>205</v>
      </c>
      <c r="G20" s="228" t="s">
        <v>81</v>
      </c>
      <c r="H20" s="201">
        <v>39083.0</v>
      </c>
      <c r="I20" s="201">
        <v>39995.0</v>
      </c>
      <c r="J20" s="84" t="s">
        <v>157</v>
      </c>
      <c r="K20" s="85">
        <v>44835.0</v>
      </c>
      <c r="L20" s="84">
        <v>22.0</v>
      </c>
      <c r="M20" s="90">
        <v>0.0</v>
      </c>
      <c r="N20" s="210" t="s">
        <v>412</v>
      </c>
      <c r="O20" s="205">
        <v>46708.0</v>
      </c>
      <c r="P20" s="204" t="s">
        <v>413</v>
      </c>
      <c r="Q20" s="205">
        <v>46708.0</v>
      </c>
      <c r="R20" s="216"/>
    </row>
    <row r="21" ht="16.5" customHeight="1">
      <c r="A21" s="41">
        <v>17.0</v>
      </c>
      <c r="B21" s="142" t="s">
        <v>89</v>
      </c>
      <c r="C21" s="112" t="s">
        <v>356</v>
      </c>
      <c r="D21" s="54" t="s">
        <v>414</v>
      </c>
      <c r="E21" s="46" t="s">
        <v>109</v>
      </c>
      <c r="F21" s="23" t="s">
        <v>217</v>
      </c>
      <c r="G21" s="209" t="s">
        <v>90</v>
      </c>
      <c r="H21" s="201">
        <v>39083.0</v>
      </c>
      <c r="I21" s="201">
        <v>39995.0</v>
      </c>
      <c r="J21" s="48" t="s">
        <v>140</v>
      </c>
      <c r="K21" s="58">
        <v>44835.0</v>
      </c>
      <c r="L21" s="87">
        <v>22.0</v>
      </c>
      <c r="M21" s="90">
        <v>0.0</v>
      </c>
      <c r="N21" s="219" t="s">
        <v>416</v>
      </c>
      <c r="O21" s="203">
        <v>44702.0</v>
      </c>
      <c r="P21" s="220" t="s">
        <v>417</v>
      </c>
      <c r="Q21" s="203">
        <v>44702.0</v>
      </c>
      <c r="R21" s="215" t="s">
        <v>381</v>
      </c>
    </row>
    <row r="22" ht="16.5" customHeight="1">
      <c r="A22" s="46">
        <v>18.0</v>
      </c>
      <c r="B22" s="142" t="s">
        <v>91</v>
      </c>
      <c r="C22" s="112" t="s">
        <v>356</v>
      </c>
      <c r="D22" s="54" t="s">
        <v>418</v>
      </c>
      <c r="E22" s="46" t="s">
        <v>109</v>
      </c>
      <c r="F22" s="23" t="s">
        <v>93</v>
      </c>
      <c r="G22" s="209" t="s">
        <v>92</v>
      </c>
      <c r="H22" s="201">
        <v>41671.0</v>
      </c>
      <c r="I22" s="201">
        <v>42095.0</v>
      </c>
      <c r="J22" s="48" t="s">
        <v>63</v>
      </c>
      <c r="K22" s="58">
        <v>45200.0</v>
      </c>
      <c r="L22" s="87">
        <v>10.0</v>
      </c>
      <c r="M22" s="90">
        <v>4.0</v>
      </c>
      <c r="N22" s="211" t="s">
        <v>421</v>
      </c>
      <c r="O22" s="205">
        <v>46149.0</v>
      </c>
      <c r="P22" s="204" t="s">
        <v>422</v>
      </c>
      <c r="Q22" s="205">
        <v>46149.0</v>
      </c>
      <c r="R22" s="211"/>
    </row>
    <row r="23" ht="16.5" customHeight="1">
      <c r="A23" s="41">
        <v>19.0</v>
      </c>
      <c r="B23" s="142" t="s">
        <v>424</v>
      </c>
      <c r="C23" s="112" t="s">
        <v>356</v>
      </c>
      <c r="D23" s="212">
        <v>23907.0</v>
      </c>
      <c r="E23" s="46" t="s">
        <v>222</v>
      </c>
      <c r="F23" s="23" t="s">
        <v>385</v>
      </c>
      <c r="G23" s="209" t="s">
        <v>426</v>
      </c>
      <c r="H23" s="201">
        <v>33664.0</v>
      </c>
      <c r="I23" s="112"/>
      <c r="J23" s="48" t="s">
        <v>104</v>
      </c>
      <c r="K23" s="58">
        <v>42461.0</v>
      </c>
      <c r="L23" s="87">
        <v>21.0</v>
      </c>
      <c r="M23" s="90">
        <v>1.0</v>
      </c>
      <c r="N23" s="222"/>
      <c r="O23" s="223"/>
      <c r="P23" s="224"/>
      <c r="Q23" s="223"/>
      <c r="R23" s="216"/>
    </row>
    <row r="24" ht="16.5" customHeight="1">
      <c r="A24" s="46">
        <v>20.0</v>
      </c>
      <c r="B24" s="142" t="s">
        <v>95</v>
      </c>
      <c r="C24" s="112" t="s">
        <v>429</v>
      </c>
      <c r="D24" s="212" t="s">
        <v>430</v>
      </c>
      <c r="E24" s="46" t="s">
        <v>222</v>
      </c>
      <c r="F24" s="23" t="s">
        <v>100</v>
      </c>
      <c r="G24" s="60" t="s">
        <v>96</v>
      </c>
      <c r="H24" s="201">
        <v>40179.0</v>
      </c>
      <c r="I24" s="201">
        <v>40909.0</v>
      </c>
      <c r="J24" s="48" t="s">
        <v>98</v>
      </c>
      <c r="K24" s="58">
        <v>44652.0</v>
      </c>
      <c r="L24" s="87">
        <v>17.0</v>
      </c>
      <c r="M24" s="90">
        <v>6.0</v>
      </c>
      <c r="N24" s="222"/>
      <c r="O24" s="223"/>
      <c r="P24" s="224"/>
      <c r="Q24" s="223"/>
      <c r="R24" s="216"/>
    </row>
    <row r="25" ht="16.5" customHeight="1">
      <c r="A25" s="41">
        <v>21.0</v>
      </c>
      <c r="B25" s="142" t="s">
        <v>101</v>
      </c>
      <c r="C25" s="112" t="s">
        <v>356</v>
      </c>
      <c r="D25" s="212">
        <v>31992.0</v>
      </c>
      <c r="E25" s="46" t="s">
        <v>225</v>
      </c>
      <c r="F25" s="23" t="s">
        <v>105</v>
      </c>
      <c r="G25" s="209" t="s">
        <v>102</v>
      </c>
      <c r="H25" s="201">
        <v>43525.0</v>
      </c>
      <c r="I25" s="201">
        <v>44044.0</v>
      </c>
      <c r="J25" s="48" t="s">
        <v>187</v>
      </c>
      <c r="K25" s="58">
        <v>44835.0</v>
      </c>
      <c r="L25" s="87">
        <v>6.0</v>
      </c>
      <c r="M25" s="90">
        <v>7.0</v>
      </c>
      <c r="N25" s="211" t="s">
        <v>434</v>
      </c>
      <c r="O25" s="205">
        <v>45507.0</v>
      </c>
      <c r="P25" s="204" t="s">
        <v>435</v>
      </c>
      <c r="Q25" s="205">
        <v>45507.0</v>
      </c>
      <c r="R25" s="216"/>
    </row>
    <row r="26" ht="16.5" customHeight="1">
      <c r="A26" s="46">
        <v>22.0</v>
      </c>
      <c r="B26" s="142" t="s">
        <v>107</v>
      </c>
      <c r="C26" s="112" t="s">
        <v>356</v>
      </c>
      <c r="D26" s="212" t="s">
        <v>436</v>
      </c>
      <c r="E26" s="46" t="s">
        <v>109</v>
      </c>
      <c r="F26" s="23" t="s">
        <v>437</v>
      </c>
      <c r="G26" s="209" t="s">
        <v>108</v>
      </c>
      <c r="H26" s="201">
        <v>44166.0</v>
      </c>
      <c r="I26" s="201">
        <v>44621.0</v>
      </c>
      <c r="J26" s="48" t="s">
        <v>228</v>
      </c>
      <c r="K26" s="58">
        <v>44621.0</v>
      </c>
      <c r="L26" s="87">
        <v>4.0</v>
      </c>
      <c r="M26" s="90">
        <v>3.0</v>
      </c>
      <c r="N26" s="211" t="s">
        <v>438</v>
      </c>
      <c r="O26" s="106">
        <v>45377.0</v>
      </c>
      <c r="P26" s="204" t="s">
        <v>439</v>
      </c>
      <c r="Q26" s="205">
        <v>45377.0</v>
      </c>
      <c r="R26" s="216"/>
    </row>
    <row r="27" ht="16.5" customHeight="1">
      <c r="A27" s="41">
        <v>23.0</v>
      </c>
      <c r="B27" s="142" t="s">
        <v>110</v>
      </c>
      <c r="C27" s="112" t="s">
        <v>374</v>
      </c>
      <c r="D27" s="212">
        <v>35028.0</v>
      </c>
      <c r="E27" s="46" t="s">
        <v>109</v>
      </c>
      <c r="F27" s="23" t="s">
        <v>114</v>
      </c>
      <c r="G27" s="209" t="s">
        <v>112</v>
      </c>
      <c r="H27" s="201">
        <v>44166.0</v>
      </c>
      <c r="I27" s="201">
        <v>44621.0</v>
      </c>
      <c r="J27" s="48" t="s">
        <v>228</v>
      </c>
      <c r="K27" s="58">
        <v>44621.0</v>
      </c>
      <c r="L27" s="87">
        <v>4.0</v>
      </c>
      <c r="M27" s="90">
        <v>3.0</v>
      </c>
      <c r="N27" s="210" t="s">
        <v>442</v>
      </c>
      <c r="O27" s="106">
        <v>45255.0</v>
      </c>
      <c r="P27" s="213"/>
      <c r="Q27" s="214"/>
      <c r="R27" s="242" t="s">
        <v>444</v>
      </c>
    </row>
    <row r="28" ht="16.5" customHeight="1">
      <c r="A28" s="46">
        <v>24.0</v>
      </c>
      <c r="B28" s="104" t="s">
        <v>115</v>
      </c>
      <c r="C28" s="112" t="s">
        <v>356</v>
      </c>
      <c r="D28" s="244">
        <v>33974.0</v>
      </c>
      <c r="E28" s="245" t="s">
        <v>109</v>
      </c>
      <c r="F28" s="246" t="s">
        <v>120</v>
      </c>
      <c r="G28" s="200" t="s">
        <v>117</v>
      </c>
      <c r="H28" s="247">
        <v>43862.0</v>
      </c>
      <c r="I28" s="247">
        <v>44621.0</v>
      </c>
      <c r="J28" s="133" t="s">
        <v>236</v>
      </c>
      <c r="K28" s="248">
        <v>44562.0</v>
      </c>
      <c r="L28" s="249" t="s">
        <v>161</v>
      </c>
      <c r="M28" s="250">
        <v>5.0</v>
      </c>
      <c r="N28" s="251" t="s">
        <v>447</v>
      </c>
      <c r="O28" s="136">
        <v>45296.0</v>
      </c>
      <c r="P28" s="252" t="s">
        <v>448</v>
      </c>
      <c r="Q28" s="253">
        <v>45296.0</v>
      </c>
      <c r="R28" s="216"/>
    </row>
    <row r="29" ht="16.5" customHeight="1">
      <c r="A29" s="41">
        <v>25.0</v>
      </c>
      <c r="B29" s="17" t="s">
        <v>121</v>
      </c>
      <c r="C29" s="254" t="s">
        <v>356</v>
      </c>
      <c r="D29" s="61">
        <v>34429.0</v>
      </c>
      <c r="E29" s="48" t="s">
        <v>246</v>
      </c>
      <c r="F29" s="246" t="s">
        <v>120</v>
      </c>
      <c r="G29" s="255" t="s">
        <v>122</v>
      </c>
      <c r="H29" s="256">
        <v>45017.0</v>
      </c>
      <c r="I29" s="226" t="s">
        <v>449</v>
      </c>
      <c r="J29" s="133" t="s">
        <v>236</v>
      </c>
      <c r="K29" s="257" t="s">
        <v>161</v>
      </c>
      <c r="L29" s="257" t="s">
        <v>161</v>
      </c>
      <c r="M29" s="257" t="s">
        <v>161</v>
      </c>
      <c r="N29" s="112" t="s">
        <v>450</v>
      </c>
      <c r="O29" s="106">
        <v>46117.0</v>
      </c>
      <c r="P29" s="112" t="s">
        <v>451</v>
      </c>
      <c r="Q29" s="258">
        <v>46117.0</v>
      </c>
      <c r="R29" s="216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6">
        <v>26.0</v>
      </c>
      <c r="B30" s="64" t="s">
        <v>127</v>
      </c>
      <c r="C30" s="254" t="s">
        <v>356</v>
      </c>
      <c r="D30" s="117">
        <v>32866.0</v>
      </c>
      <c r="E30" s="257" t="s">
        <v>134</v>
      </c>
      <c r="F30" s="112"/>
      <c r="G30" s="263" t="s">
        <v>128</v>
      </c>
      <c r="H30" s="257" t="s">
        <v>161</v>
      </c>
      <c r="I30" s="226" t="s">
        <v>449</v>
      </c>
      <c r="J30" s="257" t="s">
        <v>161</v>
      </c>
      <c r="K30" s="257" t="s">
        <v>161</v>
      </c>
      <c r="L30" s="257" t="s">
        <v>161</v>
      </c>
      <c r="M30" s="257" t="s">
        <v>161</v>
      </c>
      <c r="N30" s="112" t="s">
        <v>456</v>
      </c>
      <c r="O30" s="106">
        <v>47111.0</v>
      </c>
      <c r="P30" s="112" t="s">
        <v>457</v>
      </c>
      <c r="Q30" s="258">
        <v>47111.0</v>
      </c>
      <c r="R30" s="266"/>
    </row>
    <row r="31" ht="15.75" customHeight="1">
      <c r="A31" s="41">
        <v>27.0</v>
      </c>
      <c r="B31" s="17" t="s">
        <v>132</v>
      </c>
      <c r="C31" s="254" t="s">
        <v>356</v>
      </c>
      <c r="D31" s="120">
        <v>34763.0</v>
      </c>
      <c r="E31" s="257" t="s">
        <v>460</v>
      </c>
      <c r="F31" s="112"/>
      <c r="G31" s="269" t="s">
        <v>133</v>
      </c>
      <c r="H31" s="257" t="s">
        <v>161</v>
      </c>
      <c r="I31" s="226" t="s">
        <v>449</v>
      </c>
      <c r="J31" s="257" t="s">
        <v>161</v>
      </c>
      <c r="K31" s="257" t="s">
        <v>161</v>
      </c>
      <c r="L31" s="257" t="s">
        <v>161</v>
      </c>
      <c r="M31" s="257" t="s">
        <v>161</v>
      </c>
      <c r="N31" s="270"/>
      <c r="O31" s="271"/>
      <c r="P31" s="270"/>
      <c r="Q31" s="273"/>
      <c r="R31" s="266"/>
    </row>
    <row r="32" ht="15.75" customHeight="1">
      <c r="A32" s="46">
        <v>28.0</v>
      </c>
      <c r="B32" s="17" t="s">
        <v>138</v>
      </c>
      <c r="C32" s="254" t="s">
        <v>356</v>
      </c>
      <c r="D32" s="120">
        <v>34855.0</v>
      </c>
      <c r="E32" s="257" t="s">
        <v>134</v>
      </c>
      <c r="F32" s="112"/>
      <c r="G32" s="269" t="s">
        <v>139</v>
      </c>
      <c r="H32" s="257" t="s">
        <v>161</v>
      </c>
      <c r="I32" s="226" t="s">
        <v>449</v>
      </c>
      <c r="J32" s="257" t="s">
        <v>161</v>
      </c>
      <c r="K32" s="257" t="s">
        <v>161</v>
      </c>
      <c r="L32" s="257" t="s">
        <v>161</v>
      </c>
      <c r="M32" s="257" t="s">
        <v>161</v>
      </c>
      <c r="N32" s="112" t="s">
        <v>468</v>
      </c>
      <c r="O32" s="106">
        <v>45448.0</v>
      </c>
      <c r="P32" s="112" t="s">
        <v>470</v>
      </c>
      <c r="Q32" s="258">
        <v>45448.0</v>
      </c>
      <c r="R32" s="266"/>
    </row>
    <row r="33" ht="15.75" customHeight="1">
      <c r="A33" s="41">
        <v>29.0</v>
      </c>
      <c r="B33" s="17" t="s">
        <v>143</v>
      </c>
      <c r="C33" s="254" t="s">
        <v>356</v>
      </c>
      <c r="D33" s="120">
        <v>33041.0</v>
      </c>
      <c r="E33" s="257" t="s">
        <v>109</v>
      </c>
      <c r="F33" s="112"/>
      <c r="G33" s="278" t="s">
        <v>144</v>
      </c>
      <c r="H33" s="257" t="s">
        <v>161</v>
      </c>
      <c r="I33" s="226" t="s">
        <v>449</v>
      </c>
      <c r="J33" s="257" t="s">
        <v>161</v>
      </c>
      <c r="K33" s="257" t="s">
        <v>161</v>
      </c>
      <c r="L33" s="257" t="s">
        <v>161</v>
      </c>
      <c r="M33" s="257" t="s">
        <v>161</v>
      </c>
      <c r="N33" s="112" t="s">
        <v>476</v>
      </c>
      <c r="O33" s="106">
        <v>45460.0</v>
      </c>
      <c r="P33" s="112" t="s">
        <v>477</v>
      </c>
      <c r="Q33" s="258">
        <v>45460.0</v>
      </c>
      <c r="R33" s="216"/>
    </row>
    <row r="34" ht="15.75" customHeight="1">
      <c r="A34" s="46">
        <v>30.0</v>
      </c>
      <c r="B34" s="75" t="s">
        <v>262</v>
      </c>
      <c r="C34" s="254" t="s">
        <v>356</v>
      </c>
      <c r="D34" s="120">
        <v>35526.0</v>
      </c>
      <c r="E34" s="257" t="s">
        <v>109</v>
      </c>
      <c r="F34" s="112"/>
      <c r="G34" s="281" t="s">
        <v>263</v>
      </c>
      <c r="H34" s="257" t="s">
        <v>161</v>
      </c>
      <c r="I34" s="226" t="s">
        <v>449</v>
      </c>
      <c r="J34" s="257" t="s">
        <v>161</v>
      </c>
      <c r="K34" s="257" t="s">
        <v>161</v>
      </c>
      <c r="L34" s="257" t="s">
        <v>161</v>
      </c>
      <c r="M34" s="257" t="s">
        <v>161</v>
      </c>
      <c r="N34" s="283" t="s">
        <v>483</v>
      </c>
      <c r="O34" s="284">
        <v>45022.0</v>
      </c>
      <c r="P34" s="283" t="s">
        <v>487</v>
      </c>
      <c r="Q34" s="286">
        <v>45022.0</v>
      </c>
      <c r="R34" s="215" t="s">
        <v>381</v>
      </c>
    </row>
    <row r="35" ht="15.75" customHeight="1">
      <c r="A35" s="41">
        <v>31.0</v>
      </c>
      <c r="B35" s="75" t="s">
        <v>146</v>
      </c>
      <c r="C35" s="254" t="s">
        <v>356</v>
      </c>
      <c r="D35" s="120">
        <v>28995.0</v>
      </c>
      <c r="E35" s="257" t="s">
        <v>268</v>
      </c>
      <c r="F35" s="112"/>
      <c r="G35" s="287" t="s">
        <v>148</v>
      </c>
      <c r="H35" s="257" t="s">
        <v>161</v>
      </c>
      <c r="I35" s="226" t="s">
        <v>449</v>
      </c>
      <c r="J35" s="257" t="s">
        <v>161</v>
      </c>
      <c r="K35" s="257" t="s">
        <v>161</v>
      </c>
      <c r="L35" s="257" t="s">
        <v>161</v>
      </c>
      <c r="M35" s="257" t="s">
        <v>161</v>
      </c>
      <c r="N35" s="270"/>
      <c r="O35" s="271"/>
      <c r="P35" s="270"/>
      <c r="Q35" s="273"/>
      <c r="R35" s="266"/>
    </row>
    <row r="36" ht="15.75" customHeight="1">
      <c r="A36" s="46">
        <v>32.0</v>
      </c>
      <c r="B36" s="17" t="s">
        <v>151</v>
      </c>
      <c r="C36" s="290" t="s">
        <v>496</v>
      </c>
      <c r="D36" s="120">
        <v>31049.0</v>
      </c>
      <c r="E36" s="257" t="s">
        <v>271</v>
      </c>
      <c r="F36" s="112"/>
      <c r="G36" s="269" t="s">
        <v>152</v>
      </c>
      <c r="H36" s="257" t="s">
        <v>161</v>
      </c>
      <c r="I36" s="226" t="s">
        <v>449</v>
      </c>
      <c r="J36" s="257" t="s">
        <v>161</v>
      </c>
      <c r="K36" s="257" t="s">
        <v>161</v>
      </c>
      <c r="L36" s="257" t="s">
        <v>161</v>
      </c>
      <c r="M36" s="257" t="s">
        <v>161</v>
      </c>
      <c r="N36" s="270"/>
      <c r="O36" s="271"/>
      <c r="P36" s="270"/>
      <c r="Q36" s="273"/>
      <c r="R36" s="266"/>
    </row>
    <row r="37" ht="15.75" customHeight="1">
      <c r="A37" s="41">
        <v>33.0</v>
      </c>
      <c r="B37" s="17" t="s">
        <v>158</v>
      </c>
      <c r="C37" s="254" t="s">
        <v>356</v>
      </c>
      <c r="D37" s="120">
        <v>29053.0</v>
      </c>
      <c r="E37" s="257" t="s">
        <v>275</v>
      </c>
      <c r="F37" s="112"/>
      <c r="G37" s="269" t="s">
        <v>159</v>
      </c>
      <c r="H37" s="257" t="s">
        <v>161</v>
      </c>
      <c r="I37" s="226" t="s">
        <v>449</v>
      </c>
      <c r="J37" s="257" t="s">
        <v>161</v>
      </c>
      <c r="K37" s="257" t="s">
        <v>161</v>
      </c>
      <c r="L37" s="257" t="s">
        <v>161</v>
      </c>
      <c r="M37" s="257" t="s">
        <v>161</v>
      </c>
      <c r="N37" s="270"/>
      <c r="O37" s="271"/>
      <c r="P37" s="270"/>
      <c r="Q37" s="273"/>
      <c r="R37" s="266"/>
    </row>
    <row r="38" ht="15.75" customHeight="1">
      <c r="A38" s="46">
        <v>34.0</v>
      </c>
      <c r="B38" s="17" t="s">
        <v>278</v>
      </c>
      <c r="C38" s="254" t="s">
        <v>356</v>
      </c>
      <c r="D38" s="120">
        <v>35245.0</v>
      </c>
      <c r="E38" s="48" t="s">
        <v>83</v>
      </c>
      <c r="F38" s="112"/>
      <c r="G38" s="278" t="s">
        <v>279</v>
      </c>
      <c r="H38" s="257" t="s">
        <v>161</v>
      </c>
      <c r="I38" s="226" t="s">
        <v>449</v>
      </c>
      <c r="J38" s="257" t="s">
        <v>161</v>
      </c>
      <c r="K38" s="257" t="s">
        <v>161</v>
      </c>
      <c r="L38" s="257" t="s">
        <v>161</v>
      </c>
      <c r="M38" s="257" t="s">
        <v>161</v>
      </c>
      <c r="N38" s="270"/>
      <c r="O38" s="271"/>
      <c r="P38" s="270"/>
      <c r="Q38" s="273"/>
      <c r="R38" s="216"/>
    </row>
    <row r="39" ht="15.75" customHeight="1">
      <c r="A39" s="41">
        <v>35.0</v>
      </c>
      <c r="B39" s="17" t="s">
        <v>162</v>
      </c>
      <c r="C39" s="254" t="s">
        <v>356</v>
      </c>
      <c r="D39" s="120">
        <v>35476.0</v>
      </c>
      <c r="E39" s="48" t="s">
        <v>284</v>
      </c>
      <c r="F39" s="112"/>
      <c r="G39" s="269" t="s">
        <v>163</v>
      </c>
      <c r="H39" s="257" t="s">
        <v>161</v>
      </c>
      <c r="I39" s="226" t="s">
        <v>449</v>
      </c>
      <c r="J39" s="257" t="s">
        <v>161</v>
      </c>
      <c r="K39" s="257" t="s">
        <v>161</v>
      </c>
      <c r="L39" s="257" t="s">
        <v>161</v>
      </c>
      <c r="M39" s="257" t="s">
        <v>161</v>
      </c>
      <c r="N39" s="294"/>
      <c r="O39" s="295"/>
      <c r="P39" s="294"/>
      <c r="Q39" s="297"/>
      <c r="R39" s="298" t="s">
        <v>515</v>
      </c>
    </row>
    <row r="40" ht="15.75" customHeight="1">
      <c r="A40" s="46">
        <v>36.0</v>
      </c>
      <c r="B40" s="17" t="s">
        <v>516</v>
      </c>
      <c r="C40" s="254" t="s">
        <v>356</v>
      </c>
      <c r="D40" s="61">
        <v>30298.0</v>
      </c>
      <c r="E40" s="48" t="s">
        <v>255</v>
      </c>
      <c r="F40" s="112"/>
      <c r="G40" s="255" t="s">
        <v>517</v>
      </c>
      <c r="H40" s="257" t="s">
        <v>161</v>
      </c>
      <c r="I40" s="226" t="s">
        <v>449</v>
      </c>
      <c r="J40" s="257" t="s">
        <v>161</v>
      </c>
      <c r="K40" s="257" t="s">
        <v>161</v>
      </c>
      <c r="L40" s="257" t="s">
        <v>161</v>
      </c>
      <c r="M40" s="257" t="s">
        <v>161</v>
      </c>
      <c r="N40" s="225">
        <v>3.51110012022891E15</v>
      </c>
      <c r="O40" s="106">
        <v>46004.0</v>
      </c>
      <c r="P40" s="112" t="s">
        <v>522</v>
      </c>
      <c r="Q40" s="106">
        <v>46004.0</v>
      </c>
      <c r="R40" s="266"/>
    </row>
    <row r="41" ht="15.75" customHeight="1">
      <c r="A41" s="41">
        <v>37.0</v>
      </c>
      <c r="B41" s="17" t="s">
        <v>166</v>
      </c>
      <c r="C41" s="301" t="s">
        <v>356</v>
      </c>
      <c r="D41" s="61">
        <v>33851.0</v>
      </c>
      <c r="E41" s="48" t="s">
        <v>246</v>
      </c>
      <c r="F41" s="112"/>
      <c r="G41" s="255" t="s">
        <v>167</v>
      </c>
      <c r="H41" s="257" t="s">
        <v>161</v>
      </c>
      <c r="I41" s="226" t="s">
        <v>449</v>
      </c>
      <c r="J41" s="257" t="s">
        <v>161</v>
      </c>
      <c r="K41" s="257" t="s">
        <v>161</v>
      </c>
      <c r="L41" s="257" t="s">
        <v>161</v>
      </c>
      <c r="M41" s="257" t="s">
        <v>161</v>
      </c>
      <c r="N41" s="283" t="s">
        <v>528</v>
      </c>
      <c r="O41" s="286">
        <v>45539.0</v>
      </c>
      <c r="P41" s="266" t="s">
        <v>529</v>
      </c>
      <c r="Q41" s="302">
        <v>45539.0</v>
      </c>
      <c r="R41" s="298" t="s">
        <v>360</v>
      </c>
    </row>
    <row r="42" ht="15.75" customHeight="1">
      <c r="A42" s="46">
        <v>38.0</v>
      </c>
      <c r="B42" s="21" t="s">
        <v>169</v>
      </c>
      <c r="C42" s="254" t="s">
        <v>356</v>
      </c>
      <c r="D42" s="61">
        <v>35907.0</v>
      </c>
      <c r="E42" s="48" t="s">
        <v>246</v>
      </c>
      <c r="F42" s="112"/>
      <c r="G42" s="255" t="s">
        <v>170</v>
      </c>
      <c r="H42" s="257" t="s">
        <v>161</v>
      </c>
      <c r="I42" s="226" t="s">
        <v>449</v>
      </c>
      <c r="J42" s="257" t="s">
        <v>161</v>
      </c>
      <c r="K42" s="257" t="s">
        <v>161</v>
      </c>
      <c r="L42" s="257" t="s">
        <v>161</v>
      </c>
      <c r="M42" s="257" t="s">
        <v>161</v>
      </c>
      <c r="N42" s="270"/>
      <c r="O42" s="271"/>
      <c r="P42" s="270"/>
      <c r="Q42" s="273"/>
      <c r="R42" s="266"/>
    </row>
    <row r="43" ht="15.75" customHeight="1">
      <c r="A43" s="41">
        <v>39.0</v>
      </c>
      <c r="B43" s="21" t="s">
        <v>172</v>
      </c>
      <c r="C43" s="254" t="s">
        <v>356</v>
      </c>
      <c r="D43" s="61">
        <v>33861.0</v>
      </c>
      <c r="E43" s="48" t="s">
        <v>246</v>
      </c>
      <c r="F43" s="112"/>
      <c r="G43" s="255" t="s">
        <v>173</v>
      </c>
      <c r="H43" s="257" t="s">
        <v>161</v>
      </c>
      <c r="I43" s="226" t="s">
        <v>449</v>
      </c>
      <c r="J43" s="257" t="s">
        <v>161</v>
      </c>
      <c r="K43" s="257" t="s">
        <v>161</v>
      </c>
      <c r="L43" s="257" t="s">
        <v>161</v>
      </c>
      <c r="M43" s="257" t="s">
        <v>161</v>
      </c>
      <c r="N43" s="112" t="s">
        <v>540</v>
      </c>
      <c r="O43" s="106">
        <v>45244.0</v>
      </c>
      <c r="P43" s="112" t="s">
        <v>542</v>
      </c>
      <c r="Q43" s="258">
        <v>45244.0</v>
      </c>
      <c r="R43" s="266"/>
    </row>
    <row r="44" ht="15.75" customHeight="1">
      <c r="A44" s="46">
        <v>40.0</v>
      </c>
      <c r="B44" s="130" t="s">
        <v>547</v>
      </c>
      <c r="C44" s="254" t="s">
        <v>356</v>
      </c>
      <c r="D44" s="305">
        <v>36647.0</v>
      </c>
      <c r="E44" s="133" t="s">
        <v>246</v>
      </c>
      <c r="F44" s="112"/>
      <c r="G44" s="306" t="s">
        <v>178</v>
      </c>
      <c r="H44" s="257" t="s">
        <v>161</v>
      </c>
      <c r="I44" s="226" t="s">
        <v>449</v>
      </c>
      <c r="J44" s="257" t="s">
        <v>161</v>
      </c>
      <c r="K44" s="257" t="s">
        <v>161</v>
      </c>
      <c r="L44" s="257" t="s">
        <v>161</v>
      </c>
      <c r="M44" s="257" t="s">
        <v>161</v>
      </c>
      <c r="N44" s="112" t="s">
        <v>552</v>
      </c>
      <c r="O44" s="106">
        <v>46508.0</v>
      </c>
      <c r="P44" s="270"/>
      <c r="Q44" s="273"/>
      <c r="R44" s="266"/>
    </row>
    <row r="45" ht="15.75" customHeight="1">
      <c r="A45" s="41">
        <v>41.0</v>
      </c>
      <c r="B45" s="21" t="s">
        <v>181</v>
      </c>
      <c r="C45" s="254" t="s">
        <v>356</v>
      </c>
      <c r="D45" s="61">
        <v>36776.0</v>
      </c>
      <c r="E45" s="48" t="s">
        <v>255</v>
      </c>
      <c r="F45" s="112"/>
      <c r="G45" s="307" t="s">
        <v>182</v>
      </c>
      <c r="H45" s="257" t="s">
        <v>161</v>
      </c>
      <c r="I45" s="226" t="s">
        <v>449</v>
      </c>
      <c r="J45" s="257" t="s">
        <v>161</v>
      </c>
      <c r="K45" s="257" t="s">
        <v>161</v>
      </c>
      <c r="L45" s="257" t="s">
        <v>161</v>
      </c>
      <c r="M45" s="257" t="s">
        <v>161</v>
      </c>
      <c r="N45" s="270"/>
      <c r="O45" s="271"/>
      <c r="P45" s="270"/>
      <c r="Q45" s="273"/>
      <c r="R45" s="26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3:H4"/>
    <mergeCell ref="I3:I4"/>
    <mergeCell ref="J3:J4"/>
    <mergeCell ref="L3:M3"/>
    <mergeCell ref="N3:O3"/>
    <mergeCell ref="P3:Q3"/>
    <mergeCell ref="R3:R4"/>
    <mergeCell ref="A3:A4"/>
    <mergeCell ref="B3:B4"/>
    <mergeCell ref="C3:C4"/>
    <mergeCell ref="D3:D4"/>
    <mergeCell ref="E3:E4"/>
    <mergeCell ref="F3:F4"/>
    <mergeCell ref="G3:G4"/>
  </mergeCells>
  <printOptions/>
  <pageMargins bottom="0.7480314960629921" footer="0.0" header="0.0" left="0.3937007874015748" right="0.35433070866141736" top="0.7480314960629921"/>
  <pageSetup paperSize="5" orientation="landscape"/>
  <colBreaks count="1" manualBreakCount="1">
    <brk id="18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6.29"/>
    <col customWidth="1" min="3" max="3" width="26.43"/>
    <col customWidth="1" min="4" max="4" width="58.86"/>
    <col customWidth="1" min="5" max="5" width="28.57"/>
    <col customWidth="1" min="6" max="6" width="17.29"/>
    <col customWidth="1" min="7" max="7" width="19.29"/>
    <col customWidth="1" min="8" max="8" width="19.71"/>
    <col customWidth="1" min="9" max="9" width="19.29"/>
    <col customWidth="1" min="10" max="10" width="14.86"/>
    <col customWidth="1" min="11" max="11" width="13.14"/>
    <col customWidth="1" min="12" max="12" width="11.71"/>
    <col customWidth="1" min="13" max="13" width="17.57"/>
    <col customWidth="1" min="14" max="14" width="8.71"/>
    <col customWidth="1" min="15" max="15" width="20.57"/>
    <col customWidth="1" min="16" max="16" width="19.0"/>
    <col customWidth="1" min="17" max="26" width="8.71"/>
  </cols>
  <sheetData>
    <row r="1">
      <c r="A1" s="227" t="s">
        <v>406</v>
      </c>
    </row>
    <row r="2">
      <c r="A2" s="5"/>
      <c r="B2" s="108"/>
      <c r="C2" s="5"/>
      <c r="D2" s="5"/>
      <c r="E2" s="5"/>
      <c r="F2" s="108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>
      <c r="A3" s="229" t="s">
        <v>1</v>
      </c>
      <c r="B3" s="229" t="s">
        <v>415</v>
      </c>
      <c r="C3" s="196" t="s">
        <v>3</v>
      </c>
      <c r="D3" s="196" t="s">
        <v>419</v>
      </c>
      <c r="E3" s="196" t="s">
        <v>420</v>
      </c>
      <c r="F3" s="229" t="s">
        <v>423</v>
      </c>
      <c r="G3" s="232" t="s">
        <v>425</v>
      </c>
      <c r="H3" s="196" t="s">
        <v>427</v>
      </c>
      <c r="I3" s="229" t="s">
        <v>428</v>
      </c>
      <c r="J3" s="235" t="s">
        <v>431</v>
      </c>
      <c r="K3" s="235" t="s">
        <v>432</v>
      </c>
      <c r="L3" s="235" t="s">
        <v>433</v>
      </c>
      <c r="M3" s="195" t="s">
        <v>350</v>
      </c>
      <c r="N3" s="31"/>
      <c r="O3" s="195" t="s">
        <v>351</v>
      </c>
      <c r="P3" s="31"/>
      <c r="Q3" s="196" t="s">
        <v>48</v>
      </c>
    </row>
    <row r="4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198" t="s">
        <v>440</v>
      </c>
      <c r="N4" s="199" t="s">
        <v>441</v>
      </c>
      <c r="O4" s="198" t="s">
        <v>440</v>
      </c>
      <c r="P4" s="199" t="s">
        <v>441</v>
      </c>
      <c r="Q4" s="36"/>
    </row>
    <row r="5" ht="16.5" customHeight="1">
      <c r="A5" s="240">
        <v>1.0</v>
      </c>
      <c r="B5" s="241" t="s">
        <v>443</v>
      </c>
      <c r="C5" s="241" t="s">
        <v>307</v>
      </c>
      <c r="D5" s="243" t="s">
        <v>445</v>
      </c>
      <c r="E5" s="259" t="s">
        <v>446</v>
      </c>
      <c r="F5" s="260" t="s">
        <v>452</v>
      </c>
      <c r="G5" s="262" t="s">
        <v>453</v>
      </c>
      <c r="H5" s="262" t="s">
        <v>454</v>
      </c>
      <c r="I5" s="264"/>
      <c r="J5" s="264"/>
      <c r="K5" s="262" t="s">
        <v>455</v>
      </c>
      <c r="L5" s="243"/>
      <c r="M5" s="243"/>
      <c r="N5" s="243"/>
      <c r="O5" s="243"/>
      <c r="P5" s="243"/>
      <c r="Q5" s="243"/>
    </row>
    <row r="6" ht="16.5" customHeight="1">
      <c r="A6" s="267">
        <v>2.0</v>
      </c>
      <c r="B6" s="268" t="s">
        <v>458</v>
      </c>
      <c r="C6" s="268" t="s">
        <v>459</v>
      </c>
      <c r="D6" s="243" t="s">
        <v>461</v>
      </c>
      <c r="E6" s="274" t="s">
        <v>462</v>
      </c>
      <c r="F6" s="276" t="s">
        <v>463</v>
      </c>
      <c r="G6" s="262" t="s">
        <v>464</v>
      </c>
      <c r="H6" s="262" t="s">
        <v>465</v>
      </c>
      <c r="I6" s="262" t="s">
        <v>466</v>
      </c>
      <c r="J6" s="262" t="s">
        <v>467</v>
      </c>
      <c r="K6" s="262" t="s">
        <v>469</v>
      </c>
      <c r="L6" s="243"/>
      <c r="M6" s="243"/>
      <c r="N6" s="243"/>
      <c r="O6" s="243"/>
      <c r="P6" s="243"/>
      <c r="Q6" s="243"/>
    </row>
    <row r="7" ht="16.5" customHeight="1">
      <c r="A7" s="240">
        <v>3.0</v>
      </c>
      <c r="B7" s="268" t="s">
        <v>471</v>
      </c>
      <c r="C7" s="268" t="s">
        <v>472</v>
      </c>
      <c r="D7" s="243" t="s">
        <v>473</v>
      </c>
      <c r="E7" s="280" t="s">
        <v>474</v>
      </c>
      <c r="F7" s="276" t="s">
        <v>478</v>
      </c>
      <c r="G7" s="262" t="s">
        <v>479</v>
      </c>
      <c r="H7" s="262" t="s">
        <v>480</v>
      </c>
      <c r="I7" s="262" t="s">
        <v>481</v>
      </c>
      <c r="J7" s="262" t="s">
        <v>482</v>
      </c>
      <c r="K7" s="243"/>
      <c r="L7" s="243"/>
      <c r="M7" s="243"/>
      <c r="N7" s="243"/>
      <c r="O7" s="243"/>
      <c r="P7" s="243"/>
      <c r="Q7" s="243"/>
    </row>
    <row r="8" ht="16.5" customHeight="1">
      <c r="A8" s="267">
        <v>4.0</v>
      </c>
      <c r="B8" s="268" t="s">
        <v>484</v>
      </c>
      <c r="C8" s="268" t="s">
        <v>485</v>
      </c>
      <c r="D8" s="285" t="s">
        <v>486</v>
      </c>
      <c r="E8" s="288" t="s">
        <v>488</v>
      </c>
      <c r="F8" s="276" t="s">
        <v>490</v>
      </c>
      <c r="G8" s="243" t="s">
        <v>491</v>
      </c>
      <c r="H8" s="289" t="s">
        <v>492</v>
      </c>
      <c r="I8" s="262" t="s">
        <v>493</v>
      </c>
      <c r="J8" s="289" t="s">
        <v>494</v>
      </c>
      <c r="K8" s="262" t="s">
        <v>495</v>
      </c>
      <c r="L8" s="243"/>
      <c r="M8" s="243"/>
      <c r="N8" s="243"/>
      <c r="O8" s="243"/>
      <c r="P8" s="243"/>
      <c r="Q8" s="243"/>
    </row>
    <row r="9" ht="16.5" customHeight="1">
      <c r="A9" s="240">
        <v>5.0</v>
      </c>
      <c r="B9" s="268" t="s">
        <v>497</v>
      </c>
      <c r="C9" s="268" t="s">
        <v>498</v>
      </c>
      <c r="D9" s="243" t="s">
        <v>499</v>
      </c>
      <c r="E9" s="291" t="s">
        <v>500</v>
      </c>
      <c r="F9" s="292" t="s">
        <v>501</v>
      </c>
      <c r="G9" s="243" t="s">
        <v>502</v>
      </c>
      <c r="H9" s="262" t="s">
        <v>503</v>
      </c>
      <c r="I9" s="289" t="s">
        <v>504</v>
      </c>
      <c r="J9" s="293" t="s">
        <v>505</v>
      </c>
      <c r="K9" s="262" t="s">
        <v>506</v>
      </c>
      <c r="L9" s="289" t="s">
        <v>507</v>
      </c>
      <c r="M9" s="285"/>
      <c r="N9" s="243"/>
      <c r="O9" s="243"/>
      <c r="P9" s="243"/>
      <c r="Q9" s="285"/>
    </row>
    <row r="10" ht="16.5" customHeight="1">
      <c r="A10" s="267">
        <v>6.0</v>
      </c>
      <c r="B10" s="268" t="s">
        <v>508</v>
      </c>
      <c r="C10" s="268" t="s">
        <v>509</v>
      </c>
      <c r="D10" s="285" t="s">
        <v>510</v>
      </c>
      <c r="E10" s="296" t="s">
        <v>511</v>
      </c>
      <c r="F10" s="292" t="s">
        <v>512</v>
      </c>
      <c r="G10" s="289" t="s">
        <v>513</v>
      </c>
      <c r="H10" s="289" t="s">
        <v>514</v>
      </c>
      <c r="I10" s="299"/>
      <c r="J10" s="299"/>
      <c r="K10" s="285"/>
      <c r="L10" s="285"/>
      <c r="M10" s="285"/>
      <c r="N10" s="243"/>
      <c r="O10" s="243"/>
      <c r="P10" s="243"/>
      <c r="Q10" s="285"/>
    </row>
    <row r="11" ht="16.5" customHeight="1">
      <c r="A11" s="240">
        <v>7.0</v>
      </c>
      <c r="B11" s="268" t="s">
        <v>518</v>
      </c>
      <c r="C11" s="268" t="s">
        <v>519</v>
      </c>
      <c r="D11" s="285" t="s">
        <v>520</v>
      </c>
      <c r="E11" s="291" t="s">
        <v>521</v>
      </c>
      <c r="F11" s="292" t="s">
        <v>523</v>
      </c>
      <c r="G11" s="262" t="s">
        <v>524</v>
      </c>
      <c r="H11" s="289" t="s">
        <v>525</v>
      </c>
      <c r="I11" s="289" t="s">
        <v>526</v>
      </c>
      <c r="J11" s="289" t="s">
        <v>527</v>
      </c>
      <c r="K11" s="262" t="s">
        <v>530</v>
      </c>
      <c r="L11" s="285"/>
      <c r="M11" s="285"/>
      <c r="N11" s="243"/>
      <c r="O11" s="243"/>
      <c r="P11" s="243"/>
      <c r="Q11" s="285"/>
    </row>
    <row r="12" ht="16.5" customHeight="1">
      <c r="A12" s="267">
        <v>8.0</v>
      </c>
      <c r="B12" s="268" t="s">
        <v>531</v>
      </c>
      <c r="C12" s="268" t="s">
        <v>532</v>
      </c>
      <c r="D12" s="285" t="s">
        <v>533</v>
      </c>
      <c r="E12" s="296" t="s">
        <v>534</v>
      </c>
      <c r="F12" s="292" t="s">
        <v>535</v>
      </c>
      <c r="G12" s="262" t="s">
        <v>536</v>
      </c>
      <c r="H12" s="289" t="s">
        <v>537</v>
      </c>
      <c r="I12" s="289" t="s">
        <v>538</v>
      </c>
      <c r="J12" s="289" t="s">
        <v>539</v>
      </c>
      <c r="K12" s="289" t="s">
        <v>541</v>
      </c>
      <c r="L12" s="285"/>
      <c r="M12" s="285"/>
      <c r="N12" s="243"/>
      <c r="O12" s="243"/>
      <c r="P12" s="243"/>
      <c r="Q12" s="285"/>
    </row>
    <row r="13" ht="16.5" customHeight="1">
      <c r="A13" s="240">
        <v>9.0</v>
      </c>
      <c r="B13" s="268" t="s">
        <v>543</v>
      </c>
      <c r="C13" s="268" t="s">
        <v>544</v>
      </c>
      <c r="D13" s="285" t="s">
        <v>545</v>
      </c>
      <c r="E13" s="291" t="s">
        <v>546</v>
      </c>
      <c r="F13" s="292" t="s">
        <v>549</v>
      </c>
      <c r="G13" s="289" t="s">
        <v>550</v>
      </c>
      <c r="H13" s="289" t="s">
        <v>551</v>
      </c>
      <c r="I13" s="293" t="s">
        <v>553</v>
      </c>
      <c r="J13" s="289" t="s">
        <v>554</v>
      </c>
      <c r="K13" s="262" t="s">
        <v>555</v>
      </c>
      <c r="L13" s="285"/>
      <c r="M13" s="285"/>
      <c r="N13" s="243"/>
      <c r="O13" s="243"/>
      <c r="P13" s="243"/>
      <c r="Q13" s="285"/>
    </row>
    <row r="14" ht="16.5" customHeight="1">
      <c r="A14" s="267">
        <v>10.0</v>
      </c>
      <c r="B14" s="268" t="s">
        <v>556</v>
      </c>
      <c r="C14" s="268" t="s">
        <v>382</v>
      </c>
      <c r="D14" s="285" t="s">
        <v>557</v>
      </c>
      <c r="E14" s="296" t="s">
        <v>558</v>
      </c>
      <c r="F14" s="308" t="s">
        <v>560</v>
      </c>
      <c r="G14" s="289" t="s">
        <v>561</v>
      </c>
      <c r="H14" s="289" t="s">
        <v>562</v>
      </c>
      <c r="I14" s="289" t="s">
        <v>563</v>
      </c>
      <c r="J14" s="289" t="s">
        <v>564</v>
      </c>
      <c r="K14" s="289" t="s">
        <v>565</v>
      </c>
      <c r="L14" s="285"/>
      <c r="M14" s="285"/>
      <c r="N14" s="243"/>
      <c r="O14" s="243"/>
      <c r="P14" s="243"/>
      <c r="Q14" s="285"/>
    </row>
    <row r="15" ht="16.5" customHeight="1">
      <c r="A15" s="240">
        <v>11.0</v>
      </c>
      <c r="B15" s="268" t="s">
        <v>566</v>
      </c>
      <c r="C15" s="268" t="s">
        <v>567</v>
      </c>
      <c r="D15" s="285" t="s">
        <v>568</v>
      </c>
      <c r="E15" s="291" t="s">
        <v>569</v>
      </c>
      <c r="F15" s="308" t="s">
        <v>570</v>
      </c>
      <c r="G15" s="285" t="s">
        <v>571</v>
      </c>
      <c r="H15" s="289" t="s">
        <v>572</v>
      </c>
      <c r="I15" s="289" t="s">
        <v>573</v>
      </c>
      <c r="J15" s="289" t="s">
        <v>574</v>
      </c>
      <c r="K15" s="289" t="s">
        <v>575</v>
      </c>
      <c r="L15" s="285"/>
      <c r="M15" s="285"/>
      <c r="N15" s="243"/>
      <c r="O15" s="243"/>
      <c r="P15" s="243"/>
      <c r="Q15" s="285"/>
    </row>
    <row r="16" ht="16.5" customHeight="1">
      <c r="A16" s="267">
        <v>12.0</v>
      </c>
      <c r="B16" s="309" t="s">
        <v>576</v>
      </c>
      <c r="C16" s="268" t="s">
        <v>577</v>
      </c>
      <c r="D16" s="285" t="s">
        <v>578</v>
      </c>
      <c r="E16" s="310" t="s">
        <v>579</v>
      </c>
      <c r="F16" s="292" t="s">
        <v>580</v>
      </c>
      <c r="G16" s="285" t="s">
        <v>581</v>
      </c>
      <c r="H16" s="289" t="s">
        <v>582</v>
      </c>
      <c r="I16" s="289" t="s">
        <v>583</v>
      </c>
      <c r="J16" s="289" t="s">
        <v>584</v>
      </c>
      <c r="K16" s="285"/>
      <c r="L16" s="285"/>
      <c r="M16" s="285"/>
      <c r="N16" s="243"/>
      <c r="O16" s="243"/>
      <c r="P16" s="243"/>
      <c r="Q16" s="285"/>
    </row>
    <row r="17" ht="16.5" customHeight="1">
      <c r="A17" s="240">
        <v>13.0</v>
      </c>
      <c r="B17" s="268" t="s">
        <v>585</v>
      </c>
      <c r="C17" s="268" t="s">
        <v>586</v>
      </c>
      <c r="D17" s="285" t="s">
        <v>587</v>
      </c>
      <c r="E17" s="291" t="s">
        <v>588</v>
      </c>
      <c r="F17" s="308" t="s">
        <v>589</v>
      </c>
      <c r="G17" s="289" t="s">
        <v>590</v>
      </c>
      <c r="H17" s="289" t="s">
        <v>591</v>
      </c>
      <c r="I17" s="289" t="s">
        <v>592</v>
      </c>
      <c r="J17" s="289" t="s">
        <v>593</v>
      </c>
      <c r="K17" s="289" t="s">
        <v>594</v>
      </c>
      <c r="L17" s="285"/>
      <c r="M17" s="285"/>
      <c r="N17" s="243"/>
      <c r="O17" s="243"/>
      <c r="P17" s="243"/>
      <c r="Q17" s="285"/>
    </row>
    <row r="18" ht="16.5" customHeight="1">
      <c r="A18" s="267">
        <v>14.0</v>
      </c>
      <c r="B18" s="268" t="s">
        <v>595</v>
      </c>
      <c r="C18" s="268" t="s">
        <v>596</v>
      </c>
      <c r="D18" s="285" t="s">
        <v>597</v>
      </c>
      <c r="E18" s="311" t="s">
        <v>598</v>
      </c>
      <c r="F18" s="292" t="s">
        <v>599</v>
      </c>
      <c r="G18" s="285" t="s">
        <v>600</v>
      </c>
      <c r="H18" s="289" t="s">
        <v>601</v>
      </c>
      <c r="I18" s="289" t="s">
        <v>602</v>
      </c>
      <c r="J18" s="289" t="s">
        <v>603</v>
      </c>
      <c r="K18" s="285">
        <v>205758.0</v>
      </c>
      <c r="L18" s="285">
        <v>84333.0</v>
      </c>
      <c r="M18" s="285"/>
      <c r="N18" s="243"/>
      <c r="O18" s="243"/>
      <c r="P18" s="243"/>
      <c r="Q18" s="285"/>
    </row>
    <row r="19" ht="16.5" customHeight="1">
      <c r="A19" s="240">
        <v>15.0</v>
      </c>
      <c r="B19" s="268" t="s">
        <v>604</v>
      </c>
      <c r="C19" s="268" t="s">
        <v>605</v>
      </c>
      <c r="D19" s="285" t="s">
        <v>606</v>
      </c>
      <c r="E19" s="291" t="s">
        <v>607</v>
      </c>
      <c r="F19" s="292" t="s">
        <v>608</v>
      </c>
      <c r="G19" s="285" t="s">
        <v>609</v>
      </c>
      <c r="H19" s="289" t="s">
        <v>610</v>
      </c>
      <c r="I19" s="289" t="s">
        <v>611</v>
      </c>
      <c r="J19" s="289" t="s">
        <v>612</v>
      </c>
      <c r="K19" s="289" t="s">
        <v>613</v>
      </c>
      <c r="L19" s="289" t="s">
        <v>614</v>
      </c>
      <c r="M19" s="285"/>
      <c r="N19" s="243"/>
      <c r="O19" s="243"/>
      <c r="P19" s="243"/>
      <c r="Q19" s="285"/>
    </row>
    <row r="20" ht="16.5" customHeight="1">
      <c r="A20" s="267">
        <v>16.0</v>
      </c>
      <c r="B20" s="268" t="s">
        <v>615</v>
      </c>
      <c r="C20" s="268" t="s">
        <v>616</v>
      </c>
      <c r="D20" s="285" t="s">
        <v>617</v>
      </c>
      <c r="E20" s="296" t="s">
        <v>618</v>
      </c>
      <c r="F20" s="308" t="s">
        <v>620</v>
      </c>
      <c r="G20" s="285" t="s">
        <v>621</v>
      </c>
      <c r="H20" s="289" t="s">
        <v>622</v>
      </c>
      <c r="I20" s="289" t="s">
        <v>623</v>
      </c>
      <c r="J20" s="289" t="s">
        <v>624</v>
      </c>
      <c r="K20" s="289" t="s">
        <v>625</v>
      </c>
      <c r="L20" s="289" t="s">
        <v>626</v>
      </c>
      <c r="M20" s="285"/>
      <c r="N20" s="243"/>
      <c r="O20" s="243"/>
      <c r="P20" s="243"/>
      <c r="Q20" s="285"/>
    </row>
    <row r="21" ht="16.5" customHeight="1">
      <c r="A21" s="240">
        <v>17.0</v>
      </c>
      <c r="B21" s="268" t="s">
        <v>627</v>
      </c>
      <c r="C21" s="268" t="s">
        <v>628</v>
      </c>
      <c r="D21" s="285" t="s">
        <v>629</v>
      </c>
      <c r="E21" s="291" t="s">
        <v>630</v>
      </c>
      <c r="F21" s="292" t="s">
        <v>523</v>
      </c>
      <c r="G21" s="285" t="s">
        <v>632</v>
      </c>
      <c r="H21" s="289" t="s">
        <v>633</v>
      </c>
      <c r="I21" s="289" t="s">
        <v>634</v>
      </c>
      <c r="J21" s="289" t="s">
        <v>635</v>
      </c>
      <c r="K21" s="289" t="s">
        <v>636</v>
      </c>
      <c r="L21" s="285"/>
      <c r="M21" s="285"/>
      <c r="N21" s="243"/>
      <c r="O21" s="243"/>
      <c r="P21" s="243"/>
      <c r="Q21" s="285"/>
    </row>
    <row r="22" ht="16.5" customHeight="1">
      <c r="A22" s="267">
        <v>18.0</v>
      </c>
      <c r="B22" s="268" t="s">
        <v>637</v>
      </c>
      <c r="C22" s="268" t="s">
        <v>638</v>
      </c>
      <c r="D22" s="285" t="s">
        <v>639</v>
      </c>
      <c r="E22" s="291" t="s">
        <v>640</v>
      </c>
      <c r="F22" s="292" t="s">
        <v>641</v>
      </c>
      <c r="G22" s="285" t="s">
        <v>642</v>
      </c>
      <c r="H22" s="289" t="s">
        <v>643</v>
      </c>
      <c r="I22" s="289" t="s">
        <v>644</v>
      </c>
      <c r="J22" s="289" t="s">
        <v>645</v>
      </c>
      <c r="K22" s="285">
        <v>545920.0</v>
      </c>
      <c r="L22" s="285"/>
      <c r="M22" s="285"/>
      <c r="N22" s="243"/>
      <c r="O22" s="243"/>
      <c r="P22" s="243"/>
      <c r="Q22" s="285"/>
    </row>
    <row r="23" ht="16.5" customHeight="1">
      <c r="A23" s="240">
        <v>19.0</v>
      </c>
      <c r="B23" s="268" t="s">
        <v>646</v>
      </c>
      <c r="C23" s="268" t="s">
        <v>424</v>
      </c>
      <c r="D23" s="285" t="s">
        <v>647</v>
      </c>
      <c r="E23" s="296" t="s">
        <v>648</v>
      </c>
      <c r="F23" s="292" t="s">
        <v>649</v>
      </c>
      <c r="G23" s="289" t="s">
        <v>650</v>
      </c>
      <c r="H23" s="289" t="s">
        <v>651</v>
      </c>
      <c r="I23" s="289" t="s">
        <v>652</v>
      </c>
      <c r="J23" s="289" t="s">
        <v>653</v>
      </c>
      <c r="K23" s="289" t="s">
        <v>654</v>
      </c>
      <c r="L23" s="285"/>
      <c r="M23" s="285"/>
      <c r="N23" s="243"/>
      <c r="O23" s="243"/>
      <c r="P23" s="243"/>
      <c r="Q23" s="285"/>
    </row>
    <row r="24" ht="16.5" customHeight="1">
      <c r="A24" s="267">
        <v>20.0</v>
      </c>
      <c r="B24" s="268" t="s">
        <v>655</v>
      </c>
      <c r="C24" s="268" t="s">
        <v>656</v>
      </c>
      <c r="D24" s="285" t="s">
        <v>657</v>
      </c>
      <c r="E24" s="291" t="s">
        <v>658</v>
      </c>
      <c r="F24" s="292" t="s">
        <v>659</v>
      </c>
      <c r="G24" s="285" t="s">
        <v>660</v>
      </c>
      <c r="H24" s="289" t="s">
        <v>661</v>
      </c>
      <c r="I24" s="289" t="s">
        <v>662</v>
      </c>
      <c r="J24" s="289" t="s">
        <v>663</v>
      </c>
      <c r="K24" s="285"/>
      <c r="L24" s="289" t="s">
        <v>664</v>
      </c>
      <c r="M24" s="285"/>
      <c r="N24" s="243"/>
      <c r="O24" s="243"/>
      <c r="P24" s="243"/>
      <c r="Q24" s="285"/>
    </row>
    <row r="25" ht="16.5" customHeight="1">
      <c r="A25" s="240">
        <v>21.0</v>
      </c>
      <c r="B25" s="268" t="s">
        <v>665</v>
      </c>
      <c r="C25" s="268" t="s">
        <v>107</v>
      </c>
      <c r="D25" s="285" t="s">
        <v>666</v>
      </c>
      <c r="E25" s="291" t="s">
        <v>667</v>
      </c>
      <c r="F25" s="292" t="s">
        <v>668</v>
      </c>
      <c r="G25" s="285" t="s">
        <v>669</v>
      </c>
      <c r="H25" s="289" t="s">
        <v>670</v>
      </c>
      <c r="I25" s="289" t="s">
        <v>671</v>
      </c>
      <c r="J25" s="289" t="s">
        <v>672</v>
      </c>
      <c r="K25" s="285"/>
      <c r="L25" s="285"/>
      <c r="M25" s="285"/>
      <c r="N25" s="243"/>
      <c r="O25" s="243"/>
      <c r="P25" s="243"/>
      <c r="Q25" s="285"/>
    </row>
    <row r="26" ht="16.5" customHeight="1">
      <c r="A26" s="267">
        <v>22.0</v>
      </c>
      <c r="B26" s="268" t="s">
        <v>673</v>
      </c>
      <c r="C26" s="268" t="s">
        <v>110</v>
      </c>
      <c r="D26" s="285" t="s">
        <v>674</v>
      </c>
      <c r="E26" s="291" t="s">
        <v>675</v>
      </c>
      <c r="F26" s="292" t="s">
        <v>676</v>
      </c>
      <c r="G26" s="314" t="s">
        <v>677</v>
      </c>
      <c r="H26" s="289" t="s">
        <v>678</v>
      </c>
      <c r="I26" s="289" t="s">
        <v>679</v>
      </c>
      <c r="J26" s="293" t="s">
        <v>680</v>
      </c>
      <c r="K26" s="285"/>
      <c r="L26" s="285"/>
      <c r="M26" s="285"/>
      <c r="N26" s="243"/>
      <c r="O26" s="243"/>
      <c r="P26" s="243"/>
      <c r="Q26" s="285"/>
    </row>
    <row r="27" ht="16.5" customHeight="1">
      <c r="A27" s="240">
        <v>23.0</v>
      </c>
      <c r="B27" s="309" t="s">
        <v>681</v>
      </c>
      <c r="C27" s="268" t="s">
        <v>95</v>
      </c>
      <c r="D27" s="285" t="s">
        <v>682</v>
      </c>
      <c r="E27" s="311" t="s">
        <v>683</v>
      </c>
      <c r="F27" s="292" t="s">
        <v>684</v>
      </c>
      <c r="G27" s="285" t="s">
        <v>685</v>
      </c>
      <c r="H27" s="289" t="s">
        <v>686</v>
      </c>
      <c r="I27" s="289" t="s">
        <v>687</v>
      </c>
      <c r="J27" s="289" t="s">
        <v>688</v>
      </c>
      <c r="K27" s="289" t="s">
        <v>689</v>
      </c>
      <c r="L27" s="289" t="s">
        <v>691</v>
      </c>
      <c r="M27" s="285"/>
      <c r="N27" s="243"/>
      <c r="O27" s="243"/>
      <c r="P27" s="243"/>
      <c r="Q27" s="285"/>
    </row>
    <row r="28" ht="16.5" customHeight="1">
      <c r="A28" s="267">
        <v>24.0</v>
      </c>
      <c r="B28" s="292" t="s">
        <v>692</v>
      </c>
      <c r="C28" s="285" t="s">
        <v>115</v>
      </c>
      <c r="D28" s="285" t="s">
        <v>693</v>
      </c>
      <c r="E28" s="316" t="s">
        <v>694</v>
      </c>
      <c r="F28" s="292" t="s">
        <v>695</v>
      </c>
      <c r="G28" s="289" t="s">
        <v>696</v>
      </c>
      <c r="H28" s="289" t="s">
        <v>697</v>
      </c>
      <c r="I28" s="289" t="s">
        <v>698</v>
      </c>
      <c r="J28" s="289" t="s">
        <v>699</v>
      </c>
      <c r="K28" s="285"/>
      <c r="L28" s="285"/>
      <c r="M28" s="285"/>
      <c r="N28" s="243"/>
      <c r="O28" s="243"/>
      <c r="P28" s="243"/>
      <c r="Q28" s="285"/>
    </row>
    <row r="29" ht="15.75" customHeight="1">
      <c r="A29" s="317">
        <v>25.0</v>
      </c>
      <c r="B29" s="108" t="s">
        <v>701</v>
      </c>
      <c r="C29" s="318" t="s">
        <v>702</v>
      </c>
      <c r="D29" s="319" t="s">
        <v>703</v>
      </c>
      <c r="E29" s="320" t="s">
        <v>704</v>
      </c>
      <c r="F29" s="108" t="s">
        <v>705</v>
      </c>
      <c r="G29" s="319" t="s">
        <v>706</v>
      </c>
      <c r="H29" s="321" t="s">
        <v>707</v>
      </c>
      <c r="I29" s="321" t="s">
        <v>708</v>
      </c>
      <c r="J29" s="322" t="s">
        <v>709</v>
      </c>
      <c r="K29" s="5" t="s">
        <v>710</v>
      </c>
      <c r="L29" s="5" t="s">
        <v>711</v>
      </c>
      <c r="M29" s="211" t="s">
        <v>421</v>
      </c>
      <c r="N29" s="205">
        <v>46149.0</v>
      </c>
      <c r="O29" s="204" t="s">
        <v>712</v>
      </c>
      <c r="P29" s="323">
        <v>46149.0</v>
      </c>
      <c r="Q29" s="5"/>
    </row>
    <row r="30" ht="15.75" customHeight="1">
      <c r="A30" s="5"/>
      <c r="B30" s="108"/>
      <c r="C30" s="5"/>
      <c r="D30" s="5"/>
      <c r="E30" s="5"/>
      <c r="F30" s="10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ht="15.75" customHeight="1">
      <c r="A31" s="5"/>
      <c r="B31" s="108"/>
      <c r="C31" s="5"/>
      <c r="D31" s="5"/>
      <c r="E31" s="5"/>
      <c r="F31" s="10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15.75" customHeight="1">
      <c r="A32" s="5"/>
      <c r="B32" s="324"/>
      <c r="C32" s="324" t="s">
        <v>713</v>
      </c>
      <c r="D32" s="324"/>
      <c r="E32" s="5"/>
      <c r="F32" s="108" t="s">
        <v>391</v>
      </c>
      <c r="G32" s="5"/>
      <c r="H32" s="5" t="s">
        <v>714</v>
      </c>
      <c r="I32" s="325"/>
      <c r="J32" s="5"/>
      <c r="K32" s="5"/>
      <c r="L32" s="5"/>
      <c r="M32" s="5"/>
      <c r="N32" s="5"/>
      <c r="O32" s="5"/>
      <c r="P32" s="5"/>
      <c r="Q32" s="5"/>
    </row>
    <row r="33" ht="15.75" customHeight="1">
      <c r="A33" s="5"/>
      <c r="B33" s="326">
        <v>1.0</v>
      </c>
      <c r="C33" s="324" t="s">
        <v>715</v>
      </c>
      <c r="D33" s="324"/>
      <c r="E33" s="5"/>
      <c r="F33" s="108"/>
      <c r="G33" s="5"/>
      <c r="H33" s="5"/>
      <c r="I33" s="325"/>
      <c r="J33" s="5"/>
      <c r="K33" s="5"/>
      <c r="L33" s="5"/>
      <c r="M33" s="5"/>
      <c r="N33" s="5"/>
      <c r="O33" s="5"/>
      <c r="P33" s="5"/>
      <c r="Q33" s="5"/>
    </row>
    <row r="34" ht="15.75" customHeight="1">
      <c r="A34" s="5"/>
      <c r="B34" s="326">
        <v>2.0</v>
      </c>
      <c r="C34" s="327" t="s">
        <v>716</v>
      </c>
      <c r="D34" s="5"/>
      <c r="E34" s="5"/>
      <c r="F34" s="108"/>
      <c r="G34" s="5"/>
      <c r="H34" s="5"/>
      <c r="I34" s="325"/>
      <c r="J34" s="5"/>
      <c r="K34" s="5"/>
      <c r="L34" s="5"/>
      <c r="M34" s="5"/>
      <c r="N34" s="5"/>
      <c r="O34" s="5"/>
      <c r="P34" s="5"/>
      <c r="Q34" s="5"/>
    </row>
    <row r="35" ht="15.75" customHeight="1">
      <c r="A35" s="5"/>
      <c r="B35" s="108"/>
      <c r="C35" s="5"/>
      <c r="D35" s="5"/>
      <c r="E35" s="5"/>
      <c r="F35" s="108"/>
      <c r="G35" s="5"/>
      <c r="H35" s="5"/>
      <c r="I35" s="325"/>
      <c r="J35" s="5"/>
      <c r="K35" s="5"/>
      <c r="L35" s="5"/>
      <c r="M35" s="5"/>
      <c r="N35" s="5"/>
      <c r="O35" s="5"/>
      <c r="P35" s="5"/>
      <c r="Q35" s="5"/>
    </row>
    <row r="36" ht="15.75" customHeight="1">
      <c r="A36" s="5"/>
      <c r="B36" s="108"/>
      <c r="C36" s="5"/>
      <c r="D36" s="5"/>
      <c r="E36" s="5"/>
      <c r="F36" s="108"/>
      <c r="G36" s="5"/>
      <c r="H36" s="5" t="s">
        <v>307</v>
      </c>
      <c r="I36" s="325"/>
      <c r="J36" s="5"/>
      <c r="K36" s="5"/>
      <c r="L36" s="5"/>
      <c r="M36" s="5"/>
      <c r="N36" s="5"/>
      <c r="O36" s="5"/>
      <c r="P36" s="5"/>
      <c r="Q36" s="5"/>
    </row>
    <row r="37" ht="15.75" customHeight="1">
      <c r="A37" s="5"/>
      <c r="B37" s="5"/>
      <c r="C37" s="5"/>
      <c r="D37" s="5"/>
      <c r="E37" s="5"/>
      <c r="F37" s="108"/>
      <c r="G37" s="5"/>
      <c r="H37" s="5" t="s">
        <v>308</v>
      </c>
      <c r="I37" s="325"/>
      <c r="J37" s="5"/>
      <c r="K37" s="5"/>
      <c r="L37" s="5"/>
      <c r="M37" s="5"/>
      <c r="N37" s="5"/>
      <c r="O37" s="5"/>
      <c r="P37" s="5"/>
      <c r="Q37" s="5"/>
    </row>
    <row r="38" ht="15.75" customHeight="1">
      <c r="A38" s="5"/>
      <c r="B38" s="5"/>
      <c r="C38" s="5"/>
      <c r="D38" s="5"/>
      <c r="E38" s="5"/>
      <c r="F38" s="10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G3:G4"/>
    <mergeCell ref="H3:H4"/>
    <mergeCell ref="I3:I4"/>
    <mergeCell ref="J3:J4"/>
    <mergeCell ref="K3:K4"/>
    <mergeCell ref="L3:L4"/>
    <mergeCell ref="M3:N3"/>
    <mergeCell ref="O3:P3"/>
    <mergeCell ref="A1:Q1"/>
    <mergeCell ref="A3:A4"/>
    <mergeCell ref="B3:B4"/>
    <mergeCell ref="C3:C4"/>
    <mergeCell ref="D3:D4"/>
    <mergeCell ref="E3:E4"/>
    <mergeCell ref="F3:F4"/>
    <mergeCell ref="Q3:Q4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</hyperlinks>
  <printOptions/>
  <pageMargins bottom="0.75" footer="0.0" header="0.0" left="0.7" right="0.7" top="0.75"/>
  <pageSetup paperSize="5" orientation="landscape"/>
  <colBreaks count="1" manualBreakCount="1">
    <brk id="10" man="1"/>
  </colBreaks>
  <drawing r:id="rId2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8.29"/>
    <col customWidth="1" min="3" max="3" width="14.14"/>
    <col customWidth="1" min="4" max="4" width="12.71"/>
    <col customWidth="1" min="5" max="5" width="12.14"/>
    <col customWidth="1" min="6" max="6" width="13.14"/>
    <col customWidth="1" min="7" max="7" width="20.29"/>
    <col customWidth="1" min="8" max="26" width="8.71"/>
  </cols>
  <sheetData>
    <row r="1">
      <c r="A1" s="40" t="s">
        <v>15</v>
      </c>
      <c r="B1" s="40" t="s">
        <v>19</v>
      </c>
      <c r="C1" s="40" t="s">
        <v>350</v>
      </c>
      <c r="D1" s="40" t="s">
        <v>441</v>
      </c>
      <c r="E1" s="40" t="s">
        <v>721</v>
      </c>
      <c r="F1" s="40" t="s">
        <v>441</v>
      </c>
      <c r="G1" s="40" t="s">
        <v>48</v>
      </c>
    </row>
    <row r="2">
      <c r="A2" s="169">
        <v>1.0</v>
      </c>
      <c r="B2" s="178" t="s">
        <v>723</v>
      </c>
      <c r="C2" s="178"/>
      <c r="D2" s="178"/>
      <c r="E2" s="178"/>
      <c r="F2" s="178"/>
      <c r="G2" s="178" t="s">
        <v>724</v>
      </c>
    </row>
    <row r="3">
      <c r="A3" s="169">
        <v>2.0</v>
      </c>
      <c r="B3" s="178" t="s">
        <v>725</v>
      </c>
      <c r="C3" s="178"/>
      <c r="D3" s="178"/>
      <c r="E3" s="178"/>
      <c r="F3" s="178"/>
      <c r="G3" s="178" t="s">
        <v>726</v>
      </c>
    </row>
    <row r="4">
      <c r="A4" s="169">
        <v>3.0</v>
      </c>
      <c r="B4" s="178" t="s">
        <v>727</v>
      </c>
      <c r="C4" s="178"/>
      <c r="D4" s="178"/>
      <c r="E4" s="178"/>
      <c r="F4" s="178"/>
      <c r="G4" s="178" t="s">
        <v>728</v>
      </c>
    </row>
    <row r="5">
      <c r="A5" s="169">
        <v>4.0</v>
      </c>
      <c r="B5" s="178" t="s">
        <v>729</v>
      </c>
      <c r="C5" s="178"/>
      <c r="D5" s="178"/>
      <c r="E5" s="178"/>
      <c r="F5" s="178"/>
      <c r="G5" s="178" t="s">
        <v>730</v>
      </c>
    </row>
    <row r="6">
      <c r="A6" s="169">
        <v>5.0</v>
      </c>
      <c r="B6" s="178" t="s">
        <v>732</v>
      </c>
      <c r="C6" s="178"/>
      <c r="D6" s="178"/>
      <c r="E6" s="178"/>
      <c r="F6" s="178"/>
      <c r="G6" s="178" t="s">
        <v>726</v>
      </c>
    </row>
    <row r="7">
      <c r="A7" s="169">
        <v>6.0</v>
      </c>
      <c r="B7" s="178" t="s">
        <v>733</v>
      </c>
      <c r="C7" s="178"/>
      <c r="D7" s="178"/>
      <c r="E7" s="178"/>
      <c r="F7" s="178"/>
      <c r="G7" s="178" t="s">
        <v>726</v>
      </c>
    </row>
    <row r="8">
      <c r="A8" s="169">
        <v>7.0</v>
      </c>
      <c r="B8" s="178" t="s">
        <v>734</v>
      </c>
      <c r="C8" s="178"/>
      <c r="D8" s="178"/>
      <c r="E8" s="178"/>
      <c r="F8" s="178"/>
      <c r="G8" s="178" t="s">
        <v>735</v>
      </c>
    </row>
    <row r="9">
      <c r="A9" s="169">
        <v>8.0</v>
      </c>
      <c r="B9" s="178" t="s">
        <v>736</v>
      </c>
      <c r="C9" s="178"/>
      <c r="D9" s="178"/>
      <c r="E9" s="178"/>
      <c r="F9" s="178"/>
      <c r="G9" s="178" t="s">
        <v>726</v>
      </c>
    </row>
    <row r="10">
      <c r="A10" s="169">
        <v>9.0</v>
      </c>
      <c r="B10" s="178" t="s">
        <v>737</v>
      </c>
      <c r="C10" s="178"/>
      <c r="D10" s="178"/>
      <c r="E10" s="178"/>
      <c r="F10" s="178"/>
      <c r="G10" s="178" t="s">
        <v>726</v>
      </c>
    </row>
    <row r="11">
      <c r="A11" s="169">
        <v>10.0</v>
      </c>
      <c r="B11" s="178" t="s">
        <v>738</v>
      </c>
      <c r="C11" s="178"/>
      <c r="D11" s="178"/>
      <c r="E11" s="178"/>
      <c r="F11" s="178"/>
      <c r="G11" s="178" t="s">
        <v>735</v>
      </c>
    </row>
    <row r="12">
      <c r="A12" s="169">
        <v>11.0</v>
      </c>
      <c r="B12" s="178" t="s">
        <v>739</v>
      </c>
      <c r="C12" s="178"/>
      <c r="D12" s="178"/>
      <c r="E12" s="178"/>
      <c r="F12" s="178"/>
      <c r="G12" s="178" t="s">
        <v>735</v>
      </c>
    </row>
    <row r="13">
      <c r="A13" s="169">
        <v>12.0</v>
      </c>
      <c r="B13" s="178" t="s">
        <v>740</v>
      </c>
      <c r="C13" s="178"/>
      <c r="D13" s="178"/>
      <c r="E13" s="178"/>
      <c r="F13" s="178"/>
      <c r="G13" s="178" t="s">
        <v>726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29.14"/>
    <col customWidth="1" min="4" max="26" width="8.71"/>
  </cols>
  <sheetData>
    <row r="1">
      <c r="C1" s="331"/>
    </row>
    <row r="2" ht="16.5" customHeight="1">
      <c r="A2" s="40" t="s">
        <v>1</v>
      </c>
      <c r="B2" s="40" t="s">
        <v>3</v>
      </c>
      <c r="C2" s="40" t="s">
        <v>427</v>
      </c>
    </row>
    <row r="3" ht="16.5" customHeight="1">
      <c r="A3" s="332">
        <v>1.0</v>
      </c>
      <c r="B3" s="333" t="s">
        <v>307</v>
      </c>
      <c r="C3" s="334" t="s">
        <v>454</v>
      </c>
    </row>
    <row r="4" ht="16.5" customHeight="1">
      <c r="A4" s="332">
        <v>2.0</v>
      </c>
      <c r="B4" s="336" t="s">
        <v>459</v>
      </c>
      <c r="C4" s="334" t="s">
        <v>465</v>
      </c>
    </row>
    <row r="5" ht="16.5" customHeight="1">
      <c r="A5" s="332">
        <v>3.0</v>
      </c>
      <c r="B5" s="336" t="s">
        <v>472</v>
      </c>
      <c r="C5" s="334" t="s">
        <v>480</v>
      </c>
    </row>
    <row r="6" ht="16.5" customHeight="1">
      <c r="A6" s="332">
        <v>4.0</v>
      </c>
      <c r="B6" s="336" t="s">
        <v>485</v>
      </c>
      <c r="C6" s="337" t="s">
        <v>492</v>
      </c>
    </row>
    <row r="7" ht="16.5" customHeight="1">
      <c r="A7" s="332">
        <v>5.0</v>
      </c>
      <c r="B7" s="336" t="s">
        <v>498</v>
      </c>
      <c r="C7" s="334" t="s">
        <v>503</v>
      </c>
    </row>
    <row r="8" ht="16.5" customHeight="1">
      <c r="A8" s="332">
        <v>6.0</v>
      </c>
      <c r="B8" s="336" t="s">
        <v>509</v>
      </c>
      <c r="C8" s="337" t="s">
        <v>514</v>
      </c>
    </row>
    <row r="9" ht="16.5" customHeight="1">
      <c r="A9" s="332">
        <v>7.0</v>
      </c>
      <c r="B9" s="336" t="s">
        <v>519</v>
      </c>
      <c r="C9" s="337" t="s">
        <v>525</v>
      </c>
    </row>
    <row r="10" ht="16.5" customHeight="1">
      <c r="A10" s="332">
        <v>8.0</v>
      </c>
      <c r="B10" s="336" t="s">
        <v>532</v>
      </c>
      <c r="C10" s="337" t="s">
        <v>537</v>
      </c>
    </row>
    <row r="11" ht="16.5" customHeight="1">
      <c r="A11" s="332">
        <v>9.0</v>
      </c>
      <c r="B11" s="336" t="s">
        <v>544</v>
      </c>
      <c r="C11" s="337" t="s">
        <v>551</v>
      </c>
    </row>
    <row r="12" ht="16.5" customHeight="1">
      <c r="A12" s="332">
        <v>10.0</v>
      </c>
      <c r="B12" s="336" t="s">
        <v>382</v>
      </c>
      <c r="C12" s="337" t="s">
        <v>562</v>
      </c>
    </row>
    <row r="13" ht="16.5" customHeight="1">
      <c r="A13" s="332">
        <v>11.0</v>
      </c>
      <c r="B13" s="336" t="s">
        <v>567</v>
      </c>
      <c r="C13" s="337" t="s">
        <v>572</v>
      </c>
    </row>
    <row r="14" ht="16.5" customHeight="1">
      <c r="A14" s="332">
        <v>12.0</v>
      </c>
      <c r="B14" s="336" t="s">
        <v>577</v>
      </c>
      <c r="C14" s="337" t="s">
        <v>582</v>
      </c>
    </row>
    <row r="15" ht="16.5" customHeight="1">
      <c r="A15" s="332">
        <v>13.0</v>
      </c>
      <c r="B15" s="336" t="s">
        <v>586</v>
      </c>
      <c r="C15" s="337" t="s">
        <v>591</v>
      </c>
    </row>
    <row r="16" ht="16.5" customHeight="1">
      <c r="A16" s="332">
        <v>14.0</v>
      </c>
      <c r="B16" s="336" t="s">
        <v>596</v>
      </c>
      <c r="C16" s="337" t="s">
        <v>601</v>
      </c>
    </row>
    <row r="17" ht="16.5" customHeight="1">
      <c r="A17" s="332">
        <v>15.0</v>
      </c>
      <c r="B17" s="336" t="s">
        <v>605</v>
      </c>
      <c r="C17" s="337" t="s">
        <v>610</v>
      </c>
    </row>
    <row r="18" ht="16.5" customHeight="1">
      <c r="A18" s="332">
        <v>16.0</v>
      </c>
      <c r="B18" s="336" t="s">
        <v>616</v>
      </c>
      <c r="C18" s="337" t="s">
        <v>622</v>
      </c>
    </row>
    <row r="19" ht="16.5" customHeight="1">
      <c r="A19" s="332">
        <v>17.0</v>
      </c>
      <c r="B19" s="336" t="s">
        <v>628</v>
      </c>
      <c r="C19" s="337" t="s">
        <v>633</v>
      </c>
    </row>
    <row r="20" ht="16.5" customHeight="1">
      <c r="A20" s="332">
        <v>18.0</v>
      </c>
      <c r="B20" s="336" t="s">
        <v>638</v>
      </c>
      <c r="C20" s="337" t="s">
        <v>643</v>
      </c>
    </row>
    <row r="21" ht="16.5" customHeight="1">
      <c r="A21" s="332">
        <v>19.0</v>
      </c>
      <c r="B21" s="336" t="s">
        <v>424</v>
      </c>
      <c r="C21" s="337" t="s">
        <v>651</v>
      </c>
    </row>
    <row r="22" ht="16.5" customHeight="1">
      <c r="A22" s="332">
        <v>20.0</v>
      </c>
      <c r="B22" s="336" t="s">
        <v>656</v>
      </c>
      <c r="C22" s="337" t="s">
        <v>661</v>
      </c>
    </row>
    <row r="23" ht="16.5" customHeight="1">
      <c r="A23" s="332">
        <v>21.0</v>
      </c>
      <c r="B23" s="336" t="s">
        <v>107</v>
      </c>
      <c r="C23" s="337" t="s">
        <v>670</v>
      </c>
    </row>
    <row r="24" ht="16.5" customHeight="1">
      <c r="A24" s="332">
        <v>22.0</v>
      </c>
      <c r="B24" s="336" t="s">
        <v>110</v>
      </c>
      <c r="C24" s="337" t="s">
        <v>678</v>
      </c>
    </row>
    <row r="25" ht="16.5" customHeight="1">
      <c r="A25" s="332">
        <v>23.0</v>
      </c>
      <c r="B25" s="336" t="s">
        <v>95</v>
      </c>
      <c r="C25" s="337" t="s">
        <v>686</v>
      </c>
    </row>
    <row r="26" ht="16.5" customHeight="1">
      <c r="A26" s="332">
        <v>24.0</v>
      </c>
      <c r="B26" s="338" t="s">
        <v>115</v>
      </c>
      <c r="C26" s="337" t="s">
        <v>697</v>
      </c>
    </row>
    <row r="27" ht="16.5" customHeight="1">
      <c r="A27" s="332">
        <v>25.0</v>
      </c>
      <c r="B27" s="336" t="s">
        <v>702</v>
      </c>
      <c r="C27" s="339" t="s">
        <v>707</v>
      </c>
    </row>
    <row r="28" ht="16.5" customHeight="1">
      <c r="A28" s="332">
        <v>26.0</v>
      </c>
      <c r="B28" s="340" t="s">
        <v>127</v>
      </c>
      <c r="C28" s="341" t="s">
        <v>128</v>
      </c>
    </row>
    <row r="29" ht="16.5" customHeight="1">
      <c r="A29" s="332">
        <v>27.0</v>
      </c>
      <c r="B29" s="342" t="s">
        <v>132</v>
      </c>
      <c r="C29" s="343" t="s">
        <v>133</v>
      </c>
    </row>
    <row r="30" ht="16.5" customHeight="1">
      <c r="A30" s="332">
        <v>28.0</v>
      </c>
      <c r="B30" s="342" t="s">
        <v>138</v>
      </c>
      <c r="C30" s="343" t="s">
        <v>139</v>
      </c>
    </row>
    <row r="31" ht="16.5" customHeight="1">
      <c r="A31" s="332">
        <v>29.0</v>
      </c>
      <c r="B31" s="342" t="s">
        <v>143</v>
      </c>
      <c r="C31" s="344" t="s">
        <v>144</v>
      </c>
    </row>
    <row r="32" ht="16.5" customHeight="1">
      <c r="A32" s="332">
        <v>30.0</v>
      </c>
      <c r="B32" s="340" t="s">
        <v>262</v>
      </c>
      <c r="C32" s="345" t="s">
        <v>263</v>
      </c>
    </row>
    <row r="33" ht="16.5" customHeight="1">
      <c r="A33" s="332">
        <v>31.0</v>
      </c>
      <c r="B33" s="340" t="s">
        <v>146</v>
      </c>
      <c r="C33" s="341" t="s">
        <v>148</v>
      </c>
    </row>
    <row r="34" ht="16.5" customHeight="1">
      <c r="A34" s="332">
        <v>32.0</v>
      </c>
      <c r="B34" s="342" t="s">
        <v>151</v>
      </c>
      <c r="C34" s="343" t="s">
        <v>152</v>
      </c>
    </row>
    <row r="35" ht="16.5" customHeight="1">
      <c r="A35" s="332">
        <v>33.0</v>
      </c>
      <c r="B35" s="342" t="s">
        <v>158</v>
      </c>
      <c r="C35" s="343" t="s">
        <v>159</v>
      </c>
    </row>
    <row r="36" ht="16.5" customHeight="1">
      <c r="A36" s="332">
        <v>34.0</v>
      </c>
      <c r="B36" s="342" t="s">
        <v>278</v>
      </c>
      <c r="C36" s="344" t="s">
        <v>279</v>
      </c>
    </row>
    <row r="37" ht="16.5" customHeight="1">
      <c r="A37" s="332">
        <v>35.0</v>
      </c>
      <c r="B37" s="342" t="s">
        <v>162</v>
      </c>
      <c r="C37" s="343" t="s">
        <v>163</v>
      </c>
    </row>
    <row r="38" ht="16.5" customHeight="1">
      <c r="A38" s="332">
        <v>36.0</v>
      </c>
      <c r="B38" s="342" t="s">
        <v>516</v>
      </c>
      <c r="C38" s="347" t="s">
        <v>517</v>
      </c>
    </row>
    <row r="39" ht="16.5" customHeight="1">
      <c r="A39" s="332">
        <v>37.0</v>
      </c>
      <c r="B39" s="342" t="s">
        <v>166</v>
      </c>
      <c r="C39" s="347" t="s">
        <v>167</v>
      </c>
    </row>
    <row r="40" ht="16.5" customHeight="1">
      <c r="A40" s="332">
        <v>38.0</v>
      </c>
      <c r="B40" s="348" t="s">
        <v>169</v>
      </c>
      <c r="C40" s="347" t="s">
        <v>170</v>
      </c>
    </row>
    <row r="41" ht="16.5" customHeight="1">
      <c r="A41" s="332">
        <v>39.0</v>
      </c>
      <c r="B41" s="348" t="s">
        <v>172</v>
      </c>
      <c r="C41" s="347" t="s">
        <v>173</v>
      </c>
    </row>
    <row r="42" ht="16.5" customHeight="1">
      <c r="A42" s="332">
        <v>40.0</v>
      </c>
      <c r="B42" s="348" t="s">
        <v>547</v>
      </c>
      <c r="C42" s="347" t="s">
        <v>178</v>
      </c>
    </row>
    <row r="43" ht="16.5" customHeight="1">
      <c r="A43" s="332">
        <v>41.0</v>
      </c>
      <c r="B43" s="348" t="s">
        <v>181</v>
      </c>
      <c r="C43" s="349" t="s">
        <v>182</v>
      </c>
    </row>
    <row r="44" ht="15.75" customHeight="1">
      <c r="C44" s="331"/>
    </row>
    <row r="45" ht="15.75" customHeight="1">
      <c r="C45" s="331"/>
    </row>
    <row r="46" ht="15.75" customHeight="1">
      <c r="C46" s="331"/>
    </row>
    <row r="47" ht="15.75" customHeight="1">
      <c r="C47" s="331"/>
    </row>
    <row r="48" ht="15.75" customHeight="1">
      <c r="C48" s="331"/>
    </row>
    <row r="49" ht="15.75" customHeight="1">
      <c r="C49" s="331"/>
    </row>
    <row r="50" ht="15.75" customHeight="1">
      <c r="C50" s="331"/>
    </row>
    <row r="51" ht="15.75" customHeight="1">
      <c r="C51" s="331"/>
    </row>
    <row r="52" ht="15.75" customHeight="1">
      <c r="C52" s="331"/>
    </row>
    <row r="53" ht="15.75" customHeight="1">
      <c r="C53" s="331"/>
    </row>
    <row r="54" ht="15.75" customHeight="1">
      <c r="C54" s="331"/>
    </row>
    <row r="55" ht="15.75" customHeight="1">
      <c r="C55" s="331"/>
    </row>
    <row r="56" ht="15.75" customHeight="1">
      <c r="C56" s="331"/>
    </row>
    <row r="57" ht="15.75" customHeight="1">
      <c r="C57" s="331"/>
    </row>
    <row r="58" ht="15.75" customHeight="1">
      <c r="C58" s="331"/>
    </row>
    <row r="59" ht="15.75" customHeight="1">
      <c r="C59" s="331"/>
    </row>
    <row r="60" ht="15.75" customHeight="1">
      <c r="C60" s="331"/>
    </row>
    <row r="61" ht="15.75" customHeight="1">
      <c r="C61" s="331"/>
    </row>
    <row r="62" ht="15.75" customHeight="1">
      <c r="C62" s="331"/>
    </row>
    <row r="63" ht="15.75" customHeight="1">
      <c r="C63" s="331"/>
    </row>
    <row r="64" ht="15.75" customHeight="1">
      <c r="C64" s="331"/>
    </row>
    <row r="65" ht="15.75" customHeight="1">
      <c r="C65" s="331"/>
    </row>
    <row r="66" ht="15.75" customHeight="1">
      <c r="C66" s="331"/>
    </row>
    <row r="67" ht="15.75" customHeight="1">
      <c r="C67" s="331"/>
    </row>
    <row r="68" ht="15.75" customHeight="1">
      <c r="C68" s="331"/>
    </row>
    <row r="69" ht="15.75" customHeight="1">
      <c r="C69" s="331"/>
    </row>
    <row r="70" ht="15.75" customHeight="1">
      <c r="C70" s="331"/>
    </row>
    <row r="71" ht="15.75" customHeight="1">
      <c r="C71" s="331"/>
    </row>
    <row r="72" ht="15.75" customHeight="1">
      <c r="C72" s="331"/>
    </row>
    <row r="73" ht="15.75" customHeight="1">
      <c r="C73" s="331"/>
    </row>
    <row r="74" ht="15.75" customHeight="1">
      <c r="C74" s="331"/>
    </row>
    <row r="75" ht="15.75" customHeight="1">
      <c r="C75" s="331"/>
    </row>
    <row r="76" ht="15.75" customHeight="1">
      <c r="C76" s="331"/>
    </row>
    <row r="77" ht="15.75" customHeight="1">
      <c r="C77" s="331"/>
    </row>
    <row r="78" ht="15.75" customHeight="1">
      <c r="C78" s="331"/>
    </row>
    <row r="79" ht="15.75" customHeight="1">
      <c r="C79" s="331"/>
    </row>
    <row r="80" ht="15.75" customHeight="1">
      <c r="C80" s="331"/>
    </row>
    <row r="81" ht="15.75" customHeight="1">
      <c r="C81" s="331"/>
    </row>
    <row r="82" ht="15.75" customHeight="1">
      <c r="C82" s="331"/>
    </row>
    <row r="83" ht="15.75" customHeight="1">
      <c r="C83" s="331"/>
    </row>
    <row r="84" ht="15.75" customHeight="1">
      <c r="C84" s="331"/>
    </row>
    <row r="85" ht="15.75" customHeight="1">
      <c r="C85" s="331"/>
    </row>
    <row r="86" ht="15.75" customHeight="1">
      <c r="C86" s="331"/>
    </row>
    <row r="87" ht="15.75" customHeight="1">
      <c r="C87" s="331"/>
    </row>
    <row r="88" ht="15.75" customHeight="1">
      <c r="C88" s="331"/>
    </row>
    <row r="89" ht="15.75" customHeight="1">
      <c r="C89" s="331"/>
    </row>
    <row r="90" ht="15.75" customHeight="1">
      <c r="C90" s="331"/>
    </row>
    <row r="91" ht="15.75" customHeight="1">
      <c r="C91" s="331"/>
    </row>
    <row r="92" ht="15.75" customHeight="1">
      <c r="C92" s="331"/>
    </row>
    <row r="93" ht="15.75" customHeight="1">
      <c r="C93" s="331"/>
    </row>
    <row r="94" ht="15.75" customHeight="1">
      <c r="C94" s="331"/>
    </row>
    <row r="95" ht="15.75" customHeight="1">
      <c r="C95" s="331"/>
    </row>
    <row r="96" ht="15.75" customHeight="1">
      <c r="C96" s="331"/>
    </row>
    <row r="97" ht="15.75" customHeight="1">
      <c r="C97" s="331"/>
    </row>
    <row r="98" ht="15.75" customHeight="1">
      <c r="C98" s="331"/>
    </row>
    <row r="99" ht="15.75" customHeight="1">
      <c r="C99" s="331"/>
    </row>
    <row r="100" ht="15.75" customHeight="1">
      <c r="C100" s="331"/>
    </row>
    <row r="101" ht="15.75" customHeight="1">
      <c r="C101" s="331"/>
    </row>
    <row r="102" ht="15.75" customHeight="1">
      <c r="C102" s="331"/>
    </row>
    <row r="103" ht="15.75" customHeight="1">
      <c r="C103" s="331"/>
    </row>
    <row r="104" ht="15.75" customHeight="1">
      <c r="C104" s="331"/>
    </row>
    <row r="105" ht="15.75" customHeight="1">
      <c r="C105" s="331"/>
    </row>
    <row r="106" ht="15.75" customHeight="1">
      <c r="C106" s="331"/>
    </row>
    <row r="107" ht="15.75" customHeight="1">
      <c r="C107" s="331"/>
    </row>
    <row r="108" ht="15.75" customHeight="1">
      <c r="C108" s="331"/>
    </row>
    <row r="109" ht="15.75" customHeight="1">
      <c r="C109" s="331"/>
    </row>
    <row r="110" ht="15.75" customHeight="1">
      <c r="C110" s="331"/>
    </row>
    <row r="111" ht="15.75" customHeight="1">
      <c r="C111" s="331"/>
    </row>
    <row r="112" ht="15.75" customHeight="1">
      <c r="C112" s="331"/>
    </row>
    <row r="113" ht="15.75" customHeight="1">
      <c r="C113" s="331"/>
    </row>
    <row r="114" ht="15.75" customHeight="1">
      <c r="C114" s="331"/>
    </row>
    <row r="115" ht="15.75" customHeight="1">
      <c r="C115" s="331"/>
    </row>
    <row r="116" ht="15.75" customHeight="1">
      <c r="C116" s="331"/>
    </row>
    <row r="117" ht="15.75" customHeight="1">
      <c r="C117" s="331"/>
    </row>
    <row r="118" ht="15.75" customHeight="1">
      <c r="C118" s="331"/>
    </row>
    <row r="119" ht="15.75" customHeight="1">
      <c r="C119" s="331"/>
    </row>
    <row r="120" ht="15.75" customHeight="1">
      <c r="C120" s="331"/>
    </row>
    <row r="121" ht="15.75" customHeight="1">
      <c r="C121" s="331"/>
    </row>
    <row r="122" ht="15.75" customHeight="1">
      <c r="C122" s="331"/>
    </row>
    <row r="123" ht="15.75" customHeight="1">
      <c r="C123" s="331"/>
    </row>
    <row r="124" ht="15.75" customHeight="1">
      <c r="C124" s="331"/>
    </row>
    <row r="125" ht="15.75" customHeight="1">
      <c r="C125" s="331"/>
    </row>
    <row r="126" ht="15.75" customHeight="1">
      <c r="C126" s="331"/>
    </row>
    <row r="127" ht="15.75" customHeight="1">
      <c r="C127" s="331"/>
    </row>
    <row r="128" ht="15.75" customHeight="1">
      <c r="C128" s="331"/>
    </row>
    <row r="129" ht="15.75" customHeight="1">
      <c r="C129" s="331"/>
    </row>
    <row r="130" ht="15.75" customHeight="1">
      <c r="C130" s="331"/>
    </row>
    <row r="131" ht="15.75" customHeight="1">
      <c r="C131" s="331"/>
    </row>
    <row r="132" ht="15.75" customHeight="1">
      <c r="C132" s="331"/>
    </row>
    <row r="133" ht="15.75" customHeight="1">
      <c r="C133" s="331"/>
    </row>
    <row r="134" ht="15.75" customHeight="1">
      <c r="C134" s="331"/>
    </row>
    <row r="135" ht="15.75" customHeight="1">
      <c r="C135" s="331"/>
    </row>
    <row r="136" ht="15.75" customHeight="1">
      <c r="C136" s="331"/>
    </row>
    <row r="137" ht="15.75" customHeight="1">
      <c r="C137" s="331"/>
    </row>
    <row r="138" ht="15.75" customHeight="1">
      <c r="C138" s="331"/>
    </row>
    <row r="139" ht="15.75" customHeight="1">
      <c r="C139" s="331"/>
    </row>
    <row r="140" ht="15.75" customHeight="1">
      <c r="C140" s="331"/>
    </row>
    <row r="141" ht="15.75" customHeight="1">
      <c r="C141" s="331"/>
    </row>
    <row r="142" ht="15.75" customHeight="1">
      <c r="C142" s="331"/>
    </row>
    <row r="143" ht="15.75" customHeight="1">
      <c r="C143" s="331"/>
    </row>
    <row r="144" ht="15.75" customHeight="1">
      <c r="C144" s="331"/>
    </row>
    <row r="145" ht="15.75" customHeight="1">
      <c r="C145" s="331"/>
    </row>
    <row r="146" ht="15.75" customHeight="1">
      <c r="C146" s="331"/>
    </row>
    <row r="147" ht="15.75" customHeight="1">
      <c r="C147" s="331"/>
    </row>
    <row r="148" ht="15.75" customHeight="1">
      <c r="C148" s="331"/>
    </row>
    <row r="149" ht="15.75" customHeight="1">
      <c r="C149" s="331"/>
    </row>
    <row r="150" ht="15.75" customHeight="1">
      <c r="C150" s="331"/>
    </row>
    <row r="151" ht="15.75" customHeight="1">
      <c r="C151" s="331"/>
    </row>
    <row r="152" ht="15.75" customHeight="1">
      <c r="C152" s="331"/>
    </row>
    <row r="153" ht="15.75" customHeight="1">
      <c r="C153" s="331"/>
    </row>
    <row r="154" ht="15.75" customHeight="1">
      <c r="C154" s="331"/>
    </row>
    <row r="155" ht="15.75" customHeight="1">
      <c r="C155" s="331"/>
    </row>
    <row r="156" ht="15.75" customHeight="1">
      <c r="C156" s="331"/>
    </row>
    <row r="157" ht="15.75" customHeight="1">
      <c r="C157" s="331"/>
    </row>
    <row r="158" ht="15.75" customHeight="1">
      <c r="C158" s="331"/>
    </row>
    <row r="159" ht="15.75" customHeight="1">
      <c r="C159" s="331"/>
    </row>
    <row r="160" ht="15.75" customHeight="1">
      <c r="C160" s="331"/>
    </row>
    <row r="161" ht="15.75" customHeight="1">
      <c r="C161" s="331"/>
    </row>
    <row r="162" ht="15.75" customHeight="1">
      <c r="C162" s="331"/>
    </row>
    <row r="163" ht="15.75" customHeight="1">
      <c r="C163" s="331"/>
    </row>
    <row r="164" ht="15.75" customHeight="1">
      <c r="C164" s="331"/>
    </row>
    <row r="165" ht="15.75" customHeight="1">
      <c r="C165" s="331"/>
    </row>
    <row r="166" ht="15.75" customHeight="1">
      <c r="C166" s="331"/>
    </row>
    <row r="167" ht="15.75" customHeight="1">
      <c r="C167" s="331"/>
    </row>
    <row r="168" ht="15.75" customHeight="1">
      <c r="C168" s="331"/>
    </row>
    <row r="169" ht="15.75" customHeight="1">
      <c r="C169" s="331"/>
    </row>
    <row r="170" ht="15.75" customHeight="1">
      <c r="C170" s="331"/>
    </row>
    <row r="171" ht="15.75" customHeight="1">
      <c r="C171" s="331"/>
    </row>
    <row r="172" ht="15.75" customHeight="1">
      <c r="C172" s="331"/>
    </row>
    <row r="173" ht="15.75" customHeight="1">
      <c r="C173" s="331"/>
    </row>
    <row r="174" ht="15.75" customHeight="1">
      <c r="C174" s="331"/>
    </row>
    <row r="175" ht="15.75" customHeight="1">
      <c r="C175" s="331"/>
    </row>
    <row r="176" ht="15.75" customHeight="1">
      <c r="C176" s="331"/>
    </row>
    <row r="177" ht="15.75" customHeight="1">
      <c r="C177" s="331"/>
    </row>
    <row r="178" ht="15.75" customHeight="1">
      <c r="C178" s="331"/>
    </row>
    <row r="179" ht="15.75" customHeight="1">
      <c r="C179" s="331"/>
    </row>
    <row r="180" ht="15.75" customHeight="1">
      <c r="C180" s="331"/>
    </row>
    <row r="181" ht="15.75" customHeight="1">
      <c r="C181" s="331"/>
    </row>
    <row r="182" ht="15.75" customHeight="1">
      <c r="C182" s="331"/>
    </row>
    <row r="183" ht="15.75" customHeight="1">
      <c r="C183" s="331"/>
    </row>
    <row r="184" ht="15.75" customHeight="1">
      <c r="C184" s="331"/>
    </row>
    <row r="185" ht="15.75" customHeight="1">
      <c r="C185" s="331"/>
    </row>
    <row r="186" ht="15.75" customHeight="1">
      <c r="C186" s="331"/>
    </row>
    <row r="187" ht="15.75" customHeight="1">
      <c r="C187" s="331"/>
    </row>
    <row r="188" ht="15.75" customHeight="1">
      <c r="C188" s="331"/>
    </row>
    <row r="189" ht="15.75" customHeight="1">
      <c r="C189" s="331"/>
    </row>
    <row r="190" ht="15.75" customHeight="1">
      <c r="C190" s="331"/>
    </row>
    <row r="191" ht="15.75" customHeight="1">
      <c r="C191" s="331"/>
    </row>
    <row r="192" ht="15.75" customHeight="1">
      <c r="C192" s="331"/>
    </row>
    <row r="193" ht="15.75" customHeight="1">
      <c r="C193" s="331"/>
    </row>
    <row r="194" ht="15.75" customHeight="1">
      <c r="C194" s="331"/>
    </row>
    <row r="195" ht="15.75" customHeight="1">
      <c r="C195" s="331"/>
    </row>
    <row r="196" ht="15.75" customHeight="1">
      <c r="C196" s="331"/>
    </row>
    <row r="197" ht="15.75" customHeight="1">
      <c r="C197" s="331"/>
    </row>
    <row r="198" ht="15.75" customHeight="1">
      <c r="C198" s="331"/>
    </row>
    <row r="199" ht="15.75" customHeight="1">
      <c r="C199" s="331"/>
    </row>
    <row r="200" ht="15.75" customHeight="1">
      <c r="C200" s="331"/>
    </row>
    <row r="201" ht="15.75" customHeight="1">
      <c r="C201" s="331"/>
    </row>
    <row r="202" ht="15.75" customHeight="1">
      <c r="C202" s="331"/>
    </row>
    <row r="203" ht="15.75" customHeight="1">
      <c r="C203" s="331"/>
    </row>
    <row r="204" ht="15.75" customHeight="1">
      <c r="C204" s="331"/>
    </row>
    <row r="205" ht="15.75" customHeight="1">
      <c r="C205" s="331"/>
    </row>
    <row r="206" ht="15.75" customHeight="1">
      <c r="C206" s="331"/>
    </row>
    <row r="207" ht="15.75" customHeight="1">
      <c r="C207" s="331"/>
    </row>
    <row r="208" ht="15.75" customHeight="1">
      <c r="C208" s="331"/>
    </row>
    <row r="209" ht="15.75" customHeight="1">
      <c r="C209" s="331"/>
    </row>
    <row r="210" ht="15.75" customHeight="1">
      <c r="C210" s="331"/>
    </row>
    <row r="211" ht="15.75" customHeight="1">
      <c r="C211" s="331"/>
    </row>
    <row r="212" ht="15.75" customHeight="1">
      <c r="C212" s="331"/>
    </row>
    <row r="213" ht="15.75" customHeight="1">
      <c r="C213" s="331"/>
    </row>
    <row r="214" ht="15.75" customHeight="1">
      <c r="C214" s="331"/>
    </row>
    <row r="215" ht="15.75" customHeight="1">
      <c r="C215" s="331"/>
    </row>
    <row r="216" ht="15.75" customHeight="1">
      <c r="C216" s="331"/>
    </row>
    <row r="217" ht="15.75" customHeight="1">
      <c r="C217" s="331"/>
    </row>
    <row r="218" ht="15.75" customHeight="1">
      <c r="C218" s="331"/>
    </row>
    <row r="219" ht="15.75" customHeight="1">
      <c r="C219" s="331"/>
    </row>
    <row r="220" ht="15.75" customHeight="1">
      <c r="C220" s="331"/>
    </row>
    <row r="221" ht="15.75" customHeight="1">
      <c r="C221" s="331"/>
    </row>
    <row r="222" ht="15.75" customHeight="1">
      <c r="C222" s="331"/>
    </row>
    <row r="223" ht="15.75" customHeight="1">
      <c r="C223" s="331"/>
    </row>
    <row r="224" ht="15.75" customHeight="1">
      <c r="C224" s="331"/>
    </row>
    <row r="225" ht="15.75" customHeight="1">
      <c r="C225" s="331"/>
    </row>
    <row r="226" ht="15.75" customHeight="1">
      <c r="C226" s="331"/>
    </row>
    <row r="227" ht="15.75" customHeight="1">
      <c r="C227" s="331"/>
    </row>
    <row r="228" ht="15.75" customHeight="1">
      <c r="C228" s="331"/>
    </row>
    <row r="229" ht="15.75" customHeight="1">
      <c r="C229" s="331"/>
    </row>
    <row r="230" ht="15.75" customHeight="1">
      <c r="C230" s="331"/>
    </row>
    <row r="231" ht="15.75" customHeight="1">
      <c r="C231" s="331"/>
    </row>
    <row r="232" ht="15.75" customHeight="1">
      <c r="C232" s="331"/>
    </row>
    <row r="233" ht="15.75" customHeight="1">
      <c r="C233" s="331"/>
    </row>
    <row r="234" ht="15.75" customHeight="1">
      <c r="C234" s="331"/>
    </row>
    <row r="235" ht="15.75" customHeight="1">
      <c r="C235" s="331"/>
    </row>
    <row r="236" ht="15.75" customHeight="1">
      <c r="C236" s="331"/>
    </row>
    <row r="237" ht="15.75" customHeight="1">
      <c r="C237" s="331"/>
    </row>
    <row r="238" ht="15.75" customHeight="1">
      <c r="C238" s="331"/>
    </row>
    <row r="239" ht="15.75" customHeight="1">
      <c r="C239" s="331"/>
    </row>
    <row r="240" ht="15.75" customHeight="1">
      <c r="C240" s="331"/>
    </row>
    <row r="241" ht="15.75" customHeight="1">
      <c r="C241" s="331"/>
    </row>
    <row r="242" ht="15.75" customHeight="1">
      <c r="C242" s="331"/>
    </row>
    <row r="243" ht="15.75" customHeight="1">
      <c r="C243" s="331"/>
    </row>
    <row r="244" ht="15.75" customHeight="1">
      <c r="C244" s="331"/>
    </row>
    <row r="245" ht="15.75" customHeight="1">
      <c r="C245" s="331"/>
    </row>
    <row r="246" ht="15.75" customHeight="1">
      <c r="C246" s="331"/>
    </row>
    <row r="247" ht="15.75" customHeight="1">
      <c r="C247" s="331"/>
    </row>
    <row r="248" ht="15.75" customHeight="1">
      <c r="C248" s="331"/>
    </row>
    <row r="249" ht="15.75" customHeight="1">
      <c r="C249" s="331"/>
    </row>
    <row r="250" ht="15.75" customHeight="1">
      <c r="C250" s="331"/>
    </row>
    <row r="251" ht="15.75" customHeight="1">
      <c r="C251" s="331"/>
    </row>
    <row r="252" ht="15.75" customHeight="1">
      <c r="C252" s="331"/>
    </row>
    <row r="253" ht="15.75" customHeight="1">
      <c r="C253" s="331"/>
    </row>
    <row r="254" ht="15.75" customHeight="1">
      <c r="C254" s="331"/>
    </row>
    <row r="255" ht="15.75" customHeight="1">
      <c r="C255" s="331"/>
    </row>
    <row r="256" ht="15.75" customHeight="1">
      <c r="C256" s="331"/>
    </row>
    <row r="257" ht="15.75" customHeight="1">
      <c r="C257" s="331"/>
    </row>
    <row r="258" ht="15.75" customHeight="1">
      <c r="C258" s="331"/>
    </row>
    <row r="259" ht="15.75" customHeight="1">
      <c r="C259" s="331"/>
    </row>
    <row r="260" ht="15.75" customHeight="1">
      <c r="C260" s="331"/>
    </row>
    <row r="261" ht="15.75" customHeight="1">
      <c r="C261" s="331"/>
    </row>
    <row r="262" ht="15.75" customHeight="1">
      <c r="C262" s="331"/>
    </row>
    <row r="263" ht="15.75" customHeight="1">
      <c r="C263" s="331"/>
    </row>
    <row r="264" ht="15.75" customHeight="1">
      <c r="C264" s="331"/>
    </row>
    <row r="265" ht="15.75" customHeight="1">
      <c r="C265" s="331"/>
    </row>
    <row r="266" ht="15.75" customHeight="1">
      <c r="C266" s="331"/>
    </row>
    <row r="267" ht="15.75" customHeight="1">
      <c r="C267" s="331"/>
    </row>
    <row r="268" ht="15.75" customHeight="1">
      <c r="C268" s="331"/>
    </row>
    <row r="269" ht="15.75" customHeight="1">
      <c r="C269" s="331"/>
    </row>
    <row r="270" ht="15.75" customHeight="1">
      <c r="C270" s="331"/>
    </row>
    <row r="271" ht="15.75" customHeight="1">
      <c r="C271" s="331"/>
    </row>
    <row r="272" ht="15.75" customHeight="1">
      <c r="C272" s="331"/>
    </row>
    <row r="273" ht="15.75" customHeight="1">
      <c r="C273" s="331"/>
    </row>
    <row r="274" ht="15.75" customHeight="1">
      <c r="C274" s="331"/>
    </row>
    <row r="275" ht="15.75" customHeight="1">
      <c r="C275" s="331"/>
    </row>
    <row r="276" ht="15.75" customHeight="1">
      <c r="C276" s="331"/>
    </row>
    <row r="277" ht="15.75" customHeight="1">
      <c r="C277" s="331"/>
    </row>
    <row r="278" ht="15.75" customHeight="1">
      <c r="C278" s="331"/>
    </row>
    <row r="279" ht="15.75" customHeight="1">
      <c r="C279" s="331"/>
    </row>
    <row r="280" ht="15.75" customHeight="1">
      <c r="C280" s="331"/>
    </row>
    <row r="281" ht="15.75" customHeight="1">
      <c r="C281" s="331"/>
    </row>
    <row r="282" ht="15.75" customHeight="1">
      <c r="C282" s="331"/>
    </row>
    <row r="283" ht="15.75" customHeight="1">
      <c r="C283" s="331"/>
    </row>
    <row r="284" ht="15.75" customHeight="1">
      <c r="C284" s="331"/>
    </row>
    <row r="285" ht="15.75" customHeight="1">
      <c r="C285" s="331"/>
    </row>
    <row r="286" ht="15.75" customHeight="1">
      <c r="C286" s="331"/>
    </row>
    <row r="287" ht="15.75" customHeight="1">
      <c r="C287" s="331"/>
    </row>
    <row r="288" ht="15.75" customHeight="1">
      <c r="C288" s="331"/>
    </row>
    <row r="289" ht="15.75" customHeight="1">
      <c r="C289" s="331"/>
    </row>
    <row r="290" ht="15.75" customHeight="1">
      <c r="C290" s="331"/>
    </row>
    <row r="291" ht="15.75" customHeight="1">
      <c r="C291" s="331"/>
    </row>
    <row r="292" ht="15.75" customHeight="1">
      <c r="C292" s="331"/>
    </row>
    <row r="293" ht="15.75" customHeight="1">
      <c r="C293" s="331"/>
    </row>
    <row r="294" ht="15.75" customHeight="1">
      <c r="C294" s="331"/>
    </row>
    <row r="295" ht="15.75" customHeight="1">
      <c r="C295" s="331"/>
    </row>
    <row r="296" ht="15.75" customHeight="1">
      <c r="C296" s="331"/>
    </row>
    <row r="297" ht="15.75" customHeight="1">
      <c r="C297" s="331"/>
    </row>
    <row r="298" ht="15.75" customHeight="1">
      <c r="C298" s="331"/>
    </row>
    <row r="299" ht="15.75" customHeight="1">
      <c r="C299" s="331"/>
    </row>
    <row r="300" ht="15.75" customHeight="1">
      <c r="C300" s="331"/>
    </row>
    <row r="301" ht="15.75" customHeight="1">
      <c r="C301" s="331"/>
    </row>
    <row r="302" ht="15.75" customHeight="1">
      <c r="C302" s="331"/>
    </row>
    <row r="303" ht="15.75" customHeight="1">
      <c r="C303" s="331"/>
    </row>
    <row r="304" ht="15.75" customHeight="1">
      <c r="C304" s="331"/>
    </row>
    <row r="305" ht="15.75" customHeight="1">
      <c r="C305" s="331"/>
    </row>
    <row r="306" ht="15.75" customHeight="1">
      <c r="C306" s="331"/>
    </row>
    <row r="307" ht="15.75" customHeight="1">
      <c r="C307" s="331"/>
    </row>
    <row r="308" ht="15.75" customHeight="1">
      <c r="C308" s="331"/>
    </row>
    <row r="309" ht="15.75" customHeight="1">
      <c r="C309" s="331"/>
    </row>
    <row r="310" ht="15.75" customHeight="1">
      <c r="C310" s="331"/>
    </row>
    <row r="311" ht="15.75" customHeight="1">
      <c r="C311" s="331"/>
    </row>
    <row r="312" ht="15.75" customHeight="1">
      <c r="C312" s="331"/>
    </row>
    <row r="313" ht="15.75" customHeight="1">
      <c r="C313" s="331"/>
    </row>
    <row r="314" ht="15.75" customHeight="1">
      <c r="C314" s="331"/>
    </row>
    <row r="315" ht="15.75" customHeight="1">
      <c r="C315" s="331"/>
    </row>
    <row r="316" ht="15.75" customHeight="1">
      <c r="C316" s="331"/>
    </row>
    <row r="317" ht="15.75" customHeight="1">
      <c r="C317" s="331"/>
    </row>
    <row r="318" ht="15.75" customHeight="1">
      <c r="C318" s="331"/>
    </row>
    <row r="319" ht="15.75" customHeight="1">
      <c r="C319" s="331"/>
    </row>
    <row r="320" ht="15.75" customHeight="1">
      <c r="C320" s="331"/>
    </row>
    <row r="321" ht="15.75" customHeight="1">
      <c r="C321" s="331"/>
    </row>
    <row r="322" ht="15.75" customHeight="1">
      <c r="C322" s="331"/>
    </row>
    <row r="323" ht="15.75" customHeight="1">
      <c r="C323" s="331"/>
    </row>
    <row r="324" ht="15.75" customHeight="1">
      <c r="C324" s="331"/>
    </row>
    <row r="325" ht="15.75" customHeight="1">
      <c r="C325" s="331"/>
    </row>
    <row r="326" ht="15.75" customHeight="1">
      <c r="C326" s="331"/>
    </row>
    <row r="327" ht="15.75" customHeight="1">
      <c r="C327" s="331"/>
    </row>
    <row r="328" ht="15.75" customHeight="1">
      <c r="C328" s="331"/>
    </row>
    <row r="329" ht="15.75" customHeight="1">
      <c r="C329" s="331"/>
    </row>
    <row r="330" ht="15.75" customHeight="1">
      <c r="C330" s="331"/>
    </row>
    <row r="331" ht="15.75" customHeight="1">
      <c r="C331" s="331"/>
    </row>
    <row r="332" ht="15.75" customHeight="1">
      <c r="C332" s="331"/>
    </row>
    <row r="333" ht="15.75" customHeight="1">
      <c r="C333" s="331"/>
    </row>
    <row r="334" ht="15.75" customHeight="1">
      <c r="C334" s="331"/>
    </row>
    <row r="335" ht="15.75" customHeight="1">
      <c r="C335" s="331"/>
    </row>
    <row r="336" ht="15.75" customHeight="1">
      <c r="C336" s="331"/>
    </row>
    <row r="337" ht="15.75" customHeight="1">
      <c r="C337" s="331"/>
    </row>
    <row r="338" ht="15.75" customHeight="1">
      <c r="C338" s="331"/>
    </row>
    <row r="339" ht="15.75" customHeight="1">
      <c r="C339" s="331"/>
    </row>
    <row r="340" ht="15.75" customHeight="1">
      <c r="C340" s="331"/>
    </row>
    <row r="341" ht="15.75" customHeight="1">
      <c r="C341" s="331"/>
    </row>
    <row r="342" ht="15.75" customHeight="1">
      <c r="C342" s="331"/>
    </row>
    <row r="343" ht="15.75" customHeight="1">
      <c r="C343" s="331"/>
    </row>
    <row r="344" ht="15.75" customHeight="1">
      <c r="C344" s="331"/>
    </row>
    <row r="345" ht="15.75" customHeight="1">
      <c r="C345" s="331"/>
    </row>
    <row r="346" ht="15.75" customHeight="1">
      <c r="C346" s="331"/>
    </row>
    <row r="347" ht="15.75" customHeight="1">
      <c r="C347" s="331"/>
    </row>
    <row r="348" ht="15.75" customHeight="1">
      <c r="C348" s="331"/>
    </row>
    <row r="349" ht="15.75" customHeight="1">
      <c r="C349" s="331"/>
    </row>
    <row r="350" ht="15.75" customHeight="1">
      <c r="C350" s="331"/>
    </row>
    <row r="351" ht="15.75" customHeight="1">
      <c r="C351" s="331"/>
    </row>
    <row r="352" ht="15.75" customHeight="1">
      <c r="C352" s="331"/>
    </row>
    <row r="353" ht="15.75" customHeight="1">
      <c r="C353" s="331"/>
    </row>
    <row r="354" ht="15.75" customHeight="1">
      <c r="C354" s="331"/>
    </row>
    <row r="355" ht="15.75" customHeight="1">
      <c r="C355" s="331"/>
    </row>
    <row r="356" ht="15.75" customHeight="1">
      <c r="C356" s="331"/>
    </row>
    <row r="357" ht="15.75" customHeight="1">
      <c r="C357" s="331"/>
    </row>
    <row r="358" ht="15.75" customHeight="1">
      <c r="C358" s="331"/>
    </row>
    <row r="359" ht="15.75" customHeight="1">
      <c r="C359" s="331"/>
    </row>
    <row r="360" ht="15.75" customHeight="1">
      <c r="C360" s="331"/>
    </row>
    <row r="361" ht="15.75" customHeight="1">
      <c r="C361" s="331"/>
    </row>
    <row r="362" ht="15.75" customHeight="1">
      <c r="C362" s="331"/>
    </row>
    <row r="363" ht="15.75" customHeight="1">
      <c r="C363" s="331"/>
    </row>
    <row r="364" ht="15.75" customHeight="1">
      <c r="C364" s="331"/>
    </row>
    <row r="365" ht="15.75" customHeight="1">
      <c r="C365" s="331"/>
    </row>
    <row r="366" ht="15.75" customHeight="1">
      <c r="C366" s="331"/>
    </row>
    <row r="367" ht="15.75" customHeight="1">
      <c r="C367" s="331"/>
    </row>
    <row r="368" ht="15.75" customHeight="1">
      <c r="C368" s="331"/>
    </row>
    <row r="369" ht="15.75" customHeight="1">
      <c r="C369" s="331"/>
    </row>
    <row r="370" ht="15.75" customHeight="1">
      <c r="C370" s="331"/>
    </row>
    <row r="371" ht="15.75" customHeight="1">
      <c r="C371" s="331"/>
    </row>
    <row r="372" ht="15.75" customHeight="1">
      <c r="C372" s="331"/>
    </row>
    <row r="373" ht="15.75" customHeight="1">
      <c r="C373" s="331"/>
    </row>
    <row r="374" ht="15.75" customHeight="1">
      <c r="C374" s="331"/>
    </row>
    <row r="375" ht="15.75" customHeight="1">
      <c r="C375" s="331"/>
    </row>
    <row r="376" ht="15.75" customHeight="1">
      <c r="C376" s="331"/>
    </row>
    <row r="377" ht="15.75" customHeight="1">
      <c r="C377" s="331"/>
    </row>
    <row r="378" ht="15.75" customHeight="1">
      <c r="C378" s="331"/>
    </row>
    <row r="379" ht="15.75" customHeight="1">
      <c r="C379" s="331"/>
    </row>
    <row r="380" ht="15.75" customHeight="1">
      <c r="C380" s="331"/>
    </row>
    <row r="381" ht="15.75" customHeight="1">
      <c r="C381" s="331"/>
    </row>
    <row r="382" ht="15.75" customHeight="1">
      <c r="C382" s="331"/>
    </row>
    <row r="383" ht="15.75" customHeight="1">
      <c r="C383" s="331"/>
    </row>
    <row r="384" ht="15.75" customHeight="1">
      <c r="C384" s="331"/>
    </row>
    <row r="385" ht="15.75" customHeight="1">
      <c r="C385" s="331"/>
    </row>
    <row r="386" ht="15.75" customHeight="1">
      <c r="C386" s="331"/>
    </row>
    <row r="387" ht="15.75" customHeight="1">
      <c r="C387" s="331"/>
    </row>
    <row r="388" ht="15.75" customHeight="1">
      <c r="C388" s="331"/>
    </row>
    <row r="389" ht="15.75" customHeight="1">
      <c r="C389" s="331"/>
    </row>
    <row r="390" ht="15.75" customHeight="1">
      <c r="C390" s="331"/>
    </row>
    <row r="391" ht="15.75" customHeight="1">
      <c r="C391" s="331"/>
    </row>
    <row r="392" ht="15.75" customHeight="1">
      <c r="C392" s="331"/>
    </row>
    <row r="393" ht="15.75" customHeight="1">
      <c r="C393" s="331"/>
    </row>
    <row r="394" ht="15.75" customHeight="1">
      <c r="C394" s="331"/>
    </row>
    <row r="395" ht="15.75" customHeight="1">
      <c r="C395" s="331"/>
    </row>
    <row r="396" ht="15.75" customHeight="1">
      <c r="C396" s="331"/>
    </row>
    <row r="397" ht="15.75" customHeight="1">
      <c r="C397" s="331"/>
    </row>
    <row r="398" ht="15.75" customHeight="1">
      <c r="C398" s="331"/>
    </row>
    <row r="399" ht="15.75" customHeight="1">
      <c r="C399" s="331"/>
    </row>
    <row r="400" ht="15.75" customHeight="1">
      <c r="C400" s="331"/>
    </row>
    <row r="401" ht="15.75" customHeight="1">
      <c r="C401" s="331"/>
    </row>
    <row r="402" ht="15.75" customHeight="1">
      <c r="C402" s="331"/>
    </row>
    <row r="403" ht="15.75" customHeight="1">
      <c r="C403" s="331"/>
    </row>
    <row r="404" ht="15.75" customHeight="1">
      <c r="C404" s="331"/>
    </row>
    <row r="405" ht="15.75" customHeight="1">
      <c r="C405" s="331"/>
    </row>
    <row r="406" ht="15.75" customHeight="1">
      <c r="C406" s="331"/>
    </row>
    <row r="407" ht="15.75" customHeight="1">
      <c r="C407" s="331"/>
    </row>
    <row r="408" ht="15.75" customHeight="1">
      <c r="C408" s="331"/>
    </row>
    <row r="409" ht="15.75" customHeight="1">
      <c r="C409" s="331"/>
    </row>
    <row r="410" ht="15.75" customHeight="1">
      <c r="C410" s="331"/>
    </row>
    <row r="411" ht="15.75" customHeight="1">
      <c r="C411" s="331"/>
    </row>
    <row r="412" ht="15.75" customHeight="1">
      <c r="C412" s="331"/>
    </row>
    <row r="413" ht="15.75" customHeight="1">
      <c r="C413" s="331"/>
    </row>
    <row r="414" ht="15.75" customHeight="1">
      <c r="C414" s="331"/>
    </row>
    <row r="415" ht="15.75" customHeight="1">
      <c r="C415" s="331"/>
    </row>
    <row r="416" ht="15.75" customHeight="1">
      <c r="C416" s="331"/>
    </row>
    <row r="417" ht="15.75" customHeight="1">
      <c r="C417" s="331"/>
    </row>
    <row r="418" ht="15.75" customHeight="1">
      <c r="C418" s="331"/>
    </row>
    <row r="419" ht="15.75" customHeight="1">
      <c r="C419" s="331"/>
    </row>
    <row r="420" ht="15.75" customHeight="1">
      <c r="C420" s="331"/>
    </row>
    <row r="421" ht="15.75" customHeight="1">
      <c r="C421" s="331"/>
    </row>
    <row r="422" ht="15.75" customHeight="1">
      <c r="C422" s="331"/>
    </row>
    <row r="423" ht="15.75" customHeight="1">
      <c r="C423" s="331"/>
    </row>
    <row r="424" ht="15.75" customHeight="1">
      <c r="C424" s="331"/>
    </row>
    <row r="425" ht="15.75" customHeight="1">
      <c r="C425" s="331"/>
    </row>
    <row r="426" ht="15.75" customHeight="1">
      <c r="C426" s="331"/>
    </row>
    <row r="427" ht="15.75" customHeight="1">
      <c r="C427" s="331"/>
    </row>
    <row r="428" ht="15.75" customHeight="1">
      <c r="C428" s="331"/>
    </row>
    <row r="429" ht="15.75" customHeight="1">
      <c r="C429" s="331"/>
    </row>
    <row r="430" ht="15.75" customHeight="1">
      <c r="C430" s="331"/>
    </row>
    <row r="431" ht="15.75" customHeight="1">
      <c r="C431" s="331"/>
    </row>
    <row r="432" ht="15.75" customHeight="1">
      <c r="C432" s="331"/>
    </row>
    <row r="433" ht="15.75" customHeight="1">
      <c r="C433" s="331"/>
    </row>
    <row r="434" ht="15.75" customHeight="1">
      <c r="C434" s="331"/>
    </row>
    <row r="435" ht="15.75" customHeight="1">
      <c r="C435" s="331"/>
    </row>
    <row r="436" ht="15.75" customHeight="1">
      <c r="C436" s="331"/>
    </row>
    <row r="437" ht="15.75" customHeight="1">
      <c r="C437" s="331"/>
    </row>
    <row r="438" ht="15.75" customHeight="1">
      <c r="C438" s="331"/>
    </row>
    <row r="439" ht="15.75" customHeight="1">
      <c r="C439" s="331"/>
    </row>
    <row r="440" ht="15.75" customHeight="1">
      <c r="C440" s="331"/>
    </row>
    <row r="441" ht="15.75" customHeight="1">
      <c r="C441" s="331"/>
    </row>
    <row r="442" ht="15.75" customHeight="1">
      <c r="C442" s="331"/>
    </row>
    <row r="443" ht="15.75" customHeight="1">
      <c r="C443" s="331"/>
    </row>
    <row r="444" ht="15.75" customHeight="1">
      <c r="C444" s="331"/>
    </row>
    <row r="445" ht="15.75" customHeight="1">
      <c r="C445" s="331"/>
    </row>
    <row r="446" ht="15.75" customHeight="1">
      <c r="C446" s="331"/>
    </row>
    <row r="447" ht="15.75" customHeight="1">
      <c r="C447" s="331"/>
    </row>
    <row r="448" ht="15.75" customHeight="1">
      <c r="C448" s="331"/>
    </row>
    <row r="449" ht="15.75" customHeight="1">
      <c r="C449" s="331"/>
    </row>
    <row r="450" ht="15.75" customHeight="1">
      <c r="C450" s="331"/>
    </row>
    <row r="451" ht="15.75" customHeight="1">
      <c r="C451" s="331"/>
    </row>
    <row r="452" ht="15.75" customHeight="1">
      <c r="C452" s="331"/>
    </row>
    <row r="453" ht="15.75" customHeight="1">
      <c r="C453" s="331"/>
    </row>
    <row r="454" ht="15.75" customHeight="1">
      <c r="C454" s="331"/>
    </row>
    <row r="455" ht="15.75" customHeight="1">
      <c r="C455" s="331"/>
    </row>
    <row r="456" ht="15.75" customHeight="1">
      <c r="C456" s="331"/>
    </row>
    <row r="457" ht="15.75" customHeight="1">
      <c r="C457" s="331"/>
    </row>
    <row r="458" ht="15.75" customHeight="1">
      <c r="C458" s="331"/>
    </row>
    <row r="459" ht="15.75" customHeight="1">
      <c r="C459" s="331"/>
    </row>
    <row r="460" ht="15.75" customHeight="1">
      <c r="C460" s="331"/>
    </row>
    <row r="461" ht="15.75" customHeight="1">
      <c r="C461" s="331"/>
    </row>
    <row r="462" ht="15.75" customHeight="1">
      <c r="C462" s="331"/>
    </row>
    <row r="463" ht="15.75" customHeight="1">
      <c r="C463" s="331"/>
    </row>
    <row r="464" ht="15.75" customHeight="1">
      <c r="C464" s="331"/>
    </row>
    <row r="465" ht="15.75" customHeight="1">
      <c r="C465" s="331"/>
    </row>
    <row r="466" ht="15.75" customHeight="1">
      <c r="C466" s="331"/>
    </row>
    <row r="467" ht="15.75" customHeight="1">
      <c r="C467" s="331"/>
    </row>
    <row r="468" ht="15.75" customHeight="1">
      <c r="C468" s="331"/>
    </row>
    <row r="469" ht="15.75" customHeight="1">
      <c r="C469" s="331"/>
    </row>
    <row r="470" ht="15.75" customHeight="1">
      <c r="C470" s="331"/>
    </row>
    <row r="471" ht="15.75" customHeight="1">
      <c r="C471" s="331"/>
    </row>
    <row r="472" ht="15.75" customHeight="1">
      <c r="C472" s="331"/>
    </row>
    <row r="473" ht="15.75" customHeight="1">
      <c r="C473" s="331"/>
    </row>
    <row r="474" ht="15.75" customHeight="1">
      <c r="C474" s="331"/>
    </row>
    <row r="475" ht="15.75" customHeight="1">
      <c r="C475" s="331"/>
    </row>
    <row r="476" ht="15.75" customHeight="1">
      <c r="C476" s="331"/>
    </row>
    <row r="477" ht="15.75" customHeight="1">
      <c r="C477" s="331"/>
    </row>
    <row r="478" ht="15.75" customHeight="1">
      <c r="C478" s="331"/>
    </row>
    <row r="479" ht="15.75" customHeight="1">
      <c r="C479" s="331"/>
    </row>
    <row r="480" ht="15.75" customHeight="1">
      <c r="C480" s="331"/>
    </row>
    <row r="481" ht="15.75" customHeight="1">
      <c r="C481" s="331"/>
    </row>
    <row r="482" ht="15.75" customHeight="1">
      <c r="C482" s="331"/>
    </row>
    <row r="483" ht="15.75" customHeight="1">
      <c r="C483" s="331"/>
    </row>
    <row r="484" ht="15.75" customHeight="1">
      <c r="C484" s="331"/>
    </row>
    <row r="485" ht="15.75" customHeight="1">
      <c r="C485" s="331"/>
    </row>
    <row r="486" ht="15.75" customHeight="1">
      <c r="C486" s="331"/>
    </row>
    <row r="487" ht="15.75" customHeight="1">
      <c r="C487" s="331"/>
    </row>
    <row r="488" ht="15.75" customHeight="1">
      <c r="C488" s="331"/>
    </row>
    <row r="489" ht="15.75" customHeight="1">
      <c r="C489" s="331"/>
    </row>
    <row r="490" ht="15.75" customHeight="1">
      <c r="C490" s="331"/>
    </row>
    <row r="491" ht="15.75" customHeight="1">
      <c r="C491" s="331"/>
    </row>
    <row r="492" ht="15.75" customHeight="1">
      <c r="C492" s="331"/>
    </row>
    <row r="493" ht="15.75" customHeight="1">
      <c r="C493" s="331"/>
    </row>
    <row r="494" ht="15.75" customHeight="1">
      <c r="C494" s="331"/>
    </row>
    <row r="495" ht="15.75" customHeight="1">
      <c r="C495" s="331"/>
    </row>
    <row r="496" ht="15.75" customHeight="1">
      <c r="C496" s="331"/>
    </row>
    <row r="497" ht="15.75" customHeight="1">
      <c r="C497" s="331"/>
    </row>
    <row r="498" ht="15.75" customHeight="1">
      <c r="C498" s="331"/>
    </row>
    <row r="499" ht="15.75" customHeight="1">
      <c r="C499" s="331"/>
    </row>
    <row r="500" ht="15.75" customHeight="1">
      <c r="C500" s="331"/>
    </row>
    <row r="501" ht="15.75" customHeight="1">
      <c r="C501" s="331"/>
    </row>
    <row r="502" ht="15.75" customHeight="1">
      <c r="C502" s="331"/>
    </row>
    <row r="503" ht="15.75" customHeight="1">
      <c r="C503" s="331"/>
    </row>
    <row r="504" ht="15.75" customHeight="1">
      <c r="C504" s="331"/>
    </row>
    <row r="505" ht="15.75" customHeight="1">
      <c r="C505" s="331"/>
    </row>
    <row r="506" ht="15.75" customHeight="1">
      <c r="C506" s="331"/>
    </row>
    <row r="507" ht="15.75" customHeight="1">
      <c r="C507" s="331"/>
    </row>
    <row r="508" ht="15.75" customHeight="1">
      <c r="C508" s="331"/>
    </row>
    <row r="509" ht="15.75" customHeight="1">
      <c r="C509" s="331"/>
    </row>
    <row r="510" ht="15.75" customHeight="1">
      <c r="C510" s="331"/>
    </row>
    <row r="511" ht="15.75" customHeight="1">
      <c r="C511" s="331"/>
    </row>
    <row r="512" ht="15.75" customHeight="1">
      <c r="C512" s="331"/>
    </row>
    <row r="513" ht="15.75" customHeight="1">
      <c r="C513" s="331"/>
    </row>
    <row r="514" ht="15.75" customHeight="1">
      <c r="C514" s="331"/>
    </row>
    <row r="515" ht="15.75" customHeight="1">
      <c r="C515" s="331"/>
    </row>
    <row r="516" ht="15.75" customHeight="1">
      <c r="C516" s="331"/>
    </row>
    <row r="517" ht="15.75" customHeight="1">
      <c r="C517" s="331"/>
    </row>
    <row r="518" ht="15.75" customHeight="1">
      <c r="C518" s="331"/>
    </row>
    <row r="519" ht="15.75" customHeight="1">
      <c r="C519" s="331"/>
    </row>
    <row r="520" ht="15.75" customHeight="1">
      <c r="C520" s="331"/>
    </row>
    <row r="521" ht="15.75" customHeight="1">
      <c r="C521" s="331"/>
    </row>
    <row r="522" ht="15.75" customHeight="1">
      <c r="C522" s="331"/>
    </row>
    <row r="523" ht="15.75" customHeight="1">
      <c r="C523" s="331"/>
    </row>
    <row r="524" ht="15.75" customHeight="1">
      <c r="C524" s="331"/>
    </row>
    <row r="525" ht="15.75" customHeight="1">
      <c r="C525" s="331"/>
    </row>
    <row r="526" ht="15.75" customHeight="1">
      <c r="C526" s="331"/>
    </row>
    <row r="527" ht="15.75" customHeight="1">
      <c r="C527" s="331"/>
    </row>
    <row r="528" ht="15.75" customHeight="1">
      <c r="C528" s="331"/>
    </row>
    <row r="529" ht="15.75" customHeight="1">
      <c r="C529" s="331"/>
    </row>
    <row r="530" ht="15.75" customHeight="1">
      <c r="C530" s="331"/>
    </row>
    <row r="531" ht="15.75" customHeight="1">
      <c r="C531" s="331"/>
    </row>
    <row r="532" ht="15.75" customHeight="1">
      <c r="C532" s="331"/>
    </row>
    <row r="533" ht="15.75" customHeight="1">
      <c r="C533" s="331"/>
    </row>
    <row r="534" ht="15.75" customHeight="1">
      <c r="C534" s="331"/>
    </row>
    <row r="535" ht="15.75" customHeight="1">
      <c r="C535" s="331"/>
    </row>
    <row r="536" ht="15.75" customHeight="1">
      <c r="C536" s="331"/>
    </row>
    <row r="537" ht="15.75" customHeight="1">
      <c r="C537" s="331"/>
    </row>
    <row r="538" ht="15.75" customHeight="1">
      <c r="C538" s="331"/>
    </row>
    <row r="539" ht="15.75" customHeight="1">
      <c r="C539" s="331"/>
    </row>
    <row r="540" ht="15.75" customHeight="1">
      <c r="C540" s="331"/>
    </row>
    <row r="541" ht="15.75" customHeight="1">
      <c r="C541" s="331"/>
    </row>
    <row r="542" ht="15.75" customHeight="1">
      <c r="C542" s="331"/>
    </row>
    <row r="543" ht="15.75" customHeight="1">
      <c r="C543" s="331"/>
    </row>
    <row r="544" ht="15.75" customHeight="1">
      <c r="C544" s="331"/>
    </row>
    <row r="545" ht="15.75" customHeight="1">
      <c r="C545" s="331"/>
    </row>
    <row r="546" ht="15.75" customHeight="1">
      <c r="C546" s="331"/>
    </row>
    <row r="547" ht="15.75" customHeight="1">
      <c r="C547" s="331"/>
    </row>
    <row r="548" ht="15.75" customHeight="1">
      <c r="C548" s="331"/>
    </row>
    <row r="549" ht="15.75" customHeight="1">
      <c r="C549" s="331"/>
    </row>
    <row r="550" ht="15.75" customHeight="1">
      <c r="C550" s="331"/>
    </row>
    <row r="551" ht="15.75" customHeight="1">
      <c r="C551" s="331"/>
    </row>
    <row r="552" ht="15.75" customHeight="1">
      <c r="C552" s="331"/>
    </row>
    <row r="553" ht="15.75" customHeight="1">
      <c r="C553" s="331"/>
    </row>
    <row r="554" ht="15.75" customHeight="1">
      <c r="C554" s="331"/>
    </row>
    <row r="555" ht="15.75" customHeight="1">
      <c r="C555" s="331"/>
    </row>
    <row r="556" ht="15.75" customHeight="1">
      <c r="C556" s="331"/>
    </row>
    <row r="557" ht="15.75" customHeight="1">
      <c r="C557" s="331"/>
    </row>
    <row r="558" ht="15.75" customHeight="1">
      <c r="C558" s="331"/>
    </row>
    <row r="559" ht="15.75" customHeight="1">
      <c r="C559" s="331"/>
    </row>
    <row r="560" ht="15.75" customHeight="1">
      <c r="C560" s="331"/>
    </row>
    <row r="561" ht="15.75" customHeight="1">
      <c r="C561" s="331"/>
    </row>
    <row r="562" ht="15.75" customHeight="1">
      <c r="C562" s="331"/>
    </row>
    <row r="563" ht="15.75" customHeight="1">
      <c r="C563" s="331"/>
    </row>
    <row r="564" ht="15.75" customHeight="1">
      <c r="C564" s="331"/>
    </row>
    <row r="565" ht="15.75" customHeight="1">
      <c r="C565" s="331"/>
    </row>
    <row r="566" ht="15.75" customHeight="1">
      <c r="C566" s="331"/>
    </row>
    <row r="567" ht="15.75" customHeight="1">
      <c r="C567" s="331"/>
    </row>
    <row r="568" ht="15.75" customHeight="1">
      <c r="C568" s="331"/>
    </row>
    <row r="569" ht="15.75" customHeight="1">
      <c r="C569" s="331"/>
    </row>
    <row r="570" ht="15.75" customHeight="1">
      <c r="C570" s="331"/>
    </row>
    <row r="571" ht="15.75" customHeight="1">
      <c r="C571" s="331"/>
    </row>
    <row r="572" ht="15.75" customHeight="1">
      <c r="C572" s="331"/>
    </row>
    <row r="573" ht="15.75" customHeight="1">
      <c r="C573" s="331"/>
    </row>
    <row r="574" ht="15.75" customHeight="1">
      <c r="C574" s="331"/>
    </row>
    <row r="575" ht="15.75" customHeight="1">
      <c r="C575" s="331"/>
    </row>
    <row r="576" ht="15.75" customHeight="1">
      <c r="C576" s="331"/>
    </row>
    <row r="577" ht="15.75" customHeight="1">
      <c r="C577" s="331"/>
    </row>
    <row r="578" ht="15.75" customHeight="1">
      <c r="C578" s="331"/>
    </row>
    <row r="579" ht="15.75" customHeight="1">
      <c r="C579" s="331"/>
    </row>
    <row r="580" ht="15.75" customHeight="1">
      <c r="C580" s="331"/>
    </row>
    <row r="581" ht="15.75" customHeight="1">
      <c r="C581" s="331"/>
    </row>
    <row r="582" ht="15.75" customHeight="1">
      <c r="C582" s="331"/>
    </row>
    <row r="583" ht="15.75" customHeight="1">
      <c r="C583" s="331"/>
    </row>
    <row r="584" ht="15.75" customHeight="1">
      <c r="C584" s="331"/>
    </row>
    <row r="585" ht="15.75" customHeight="1">
      <c r="C585" s="331"/>
    </row>
    <row r="586" ht="15.75" customHeight="1">
      <c r="C586" s="331"/>
    </row>
    <row r="587" ht="15.75" customHeight="1">
      <c r="C587" s="331"/>
    </row>
    <row r="588" ht="15.75" customHeight="1">
      <c r="C588" s="331"/>
    </row>
    <row r="589" ht="15.75" customHeight="1">
      <c r="C589" s="331"/>
    </row>
    <row r="590" ht="15.75" customHeight="1">
      <c r="C590" s="331"/>
    </row>
    <row r="591" ht="15.75" customHeight="1">
      <c r="C591" s="331"/>
    </row>
    <row r="592" ht="15.75" customHeight="1">
      <c r="C592" s="331"/>
    </row>
    <row r="593" ht="15.75" customHeight="1">
      <c r="C593" s="331"/>
    </row>
    <row r="594" ht="15.75" customHeight="1">
      <c r="C594" s="331"/>
    </row>
    <row r="595" ht="15.75" customHeight="1">
      <c r="C595" s="331"/>
    </row>
    <row r="596" ht="15.75" customHeight="1">
      <c r="C596" s="331"/>
    </row>
    <row r="597" ht="15.75" customHeight="1">
      <c r="C597" s="331"/>
    </row>
    <row r="598" ht="15.75" customHeight="1">
      <c r="C598" s="331"/>
    </row>
    <row r="599" ht="15.75" customHeight="1">
      <c r="C599" s="331"/>
    </row>
    <row r="600" ht="15.75" customHeight="1">
      <c r="C600" s="331"/>
    </row>
    <row r="601" ht="15.75" customHeight="1">
      <c r="C601" s="331"/>
    </row>
    <row r="602" ht="15.75" customHeight="1">
      <c r="C602" s="331"/>
    </row>
    <row r="603" ht="15.75" customHeight="1">
      <c r="C603" s="331"/>
    </row>
    <row r="604" ht="15.75" customHeight="1">
      <c r="C604" s="331"/>
    </row>
    <row r="605" ht="15.75" customHeight="1">
      <c r="C605" s="331"/>
    </row>
    <row r="606" ht="15.75" customHeight="1">
      <c r="C606" s="331"/>
    </row>
    <row r="607" ht="15.75" customHeight="1">
      <c r="C607" s="331"/>
    </row>
    <row r="608" ht="15.75" customHeight="1">
      <c r="C608" s="331"/>
    </row>
    <row r="609" ht="15.75" customHeight="1">
      <c r="C609" s="331"/>
    </row>
    <row r="610" ht="15.75" customHeight="1">
      <c r="C610" s="331"/>
    </row>
    <row r="611" ht="15.75" customHeight="1">
      <c r="C611" s="331"/>
    </row>
    <row r="612" ht="15.75" customHeight="1">
      <c r="C612" s="331"/>
    </row>
    <row r="613" ht="15.75" customHeight="1">
      <c r="C613" s="331"/>
    </row>
    <row r="614" ht="15.75" customHeight="1">
      <c r="C614" s="331"/>
    </row>
    <row r="615" ht="15.75" customHeight="1">
      <c r="C615" s="331"/>
    </row>
    <row r="616" ht="15.75" customHeight="1">
      <c r="C616" s="331"/>
    </row>
    <row r="617" ht="15.75" customHeight="1">
      <c r="C617" s="331"/>
    </row>
    <row r="618" ht="15.75" customHeight="1">
      <c r="C618" s="331"/>
    </row>
    <row r="619" ht="15.75" customHeight="1">
      <c r="C619" s="331"/>
    </row>
    <row r="620" ht="15.75" customHeight="1">
      <c r="C620" s="331"/>
    </row>
    <row r="621" ht="15.75" customHeight="1">
      <c r="C621" s="331"/>
    </row>
    <row r="622" ht="15.75" customHeight="1">
      <c r="C622" s="331"/>
    </row>
    <row r="623" ht="15.75" customHeight="1">
      <c r="C623" s="331"/>
    </row>
    <row r="624" ht="15.75" customHeight="1">
      <c r="C624" s="331"/>
    </row>
    <row r="625" ht="15.75" customHeight="1">
      <c r="C625" s="331"/>
    </row>
    <row r="626" ht="15.75" customHeight="1">
      <c r="C626" s="331"/>
    </row>
    <row r="627" ht="15.75" customHeight="1">
      <c r="C627" s="331"/>
    </row>
    <row r="628" ht="15.75" customHeight="1">
      <c r="C628" s="331"/>
    </row>
    <row r="629" ht="15.75" customHeight="1">
      <c r="C629" s="331"/>
    </row>
    <row r="630" ht="15.75" customHeight="1">
      <c r="C630" s="331"/>
    </row>
    <row r="631" ht="15.75" customHeight="1">
      <c r="C631" s="331"/>
    </row>
    <row r="632" ht="15.75" customHeight="1">
      <c r="C632" s="331"/>
    </row>
    <row r="633" ht="15.75" customHeight="1">
      <c r="C633" s="331"/>
    </row>
    <row r="634" ht="15.75" customHeight="1">
      <c r="C634" s="331"/>
    </row>
    <row r="635" ht="15.75" customHeight="1">
      <c r="C635" s="331"/>
    </row>
    <row r="636" ht="15.75" customHeight="1">
      <c r="C636" s="331"/>
    </row>
    <row r="637" ht="15.75" customHeight="1">
      <c r="C637" s="331"/>
    </row>
    <row r="638" ht="15.75" customHeight="1">
      <c r="C638" s="331"/>
    </row>
    <row r="639" ht="15.75" customHeight="1">
      <c r="C639" s="331"/>
    </row>
    <row r="640" ht="15.75" customHeight="1">
      <c r="C640" s="331"/>
    </row>
    <row r="641" ht="15.75" customHeight="1">
      <c r="C641" s="331"/>
    </row>
    <row r="642" ht="15.75" customHeight="1">
      <c r="C642" s="331"/>
    </row>
    <row r="643" ht="15.75" customHeight="1">
      <c r="C643" s="331"/>
    </row>
    <row r="644" ht="15.75" customHeight="1">
      <c r="C644" s="331"/>
    </row>
    <row r="645" ht="15.75" customHeight="1">
      <c r="C645" s="331"/>
    </row>
    <row r="646" ht="15.75" customHeight="1">
      <c r="C646" s="331"/>
    </row>
    <row r="647" ht="15.75" customHeight="1">
      <c r="C647" s="331"/>
    </row>
    <row r="648" ht="15.75" customHeight="1">
      <c r="C648" s="331"/>
    </row>
    <row r="649" ht="15.75" customHeight="1">
      <c r="C649" s="331"/>
    </row>
    <row r="650" ht="15.75" customHeight="1">
      <c r="C650" s="331"/>
    </row>
    <row r="651" ht="15.75" customHeight="1">
      <c r="C651" s="331"/>
    </row>
    <row r="652" ht="15.75" customHeight="1">
      <c r="C652" s="331"/>
    </row>
    <row r="653" ht="15.75" customHeight="1">
      <c r="C653" s="331"/>
    </row>
    <row r="654" ht="15.75" customHeight="1">
      <c r="C654" s="331"/>
    </row>
    <row r="655" ht="15.75" customHeight="1">
      <c r="C655" s="331"/>
    </row>
    <row r="656" ht="15.75" customHeight="1">
      <c r="C656" s="331"/>
    </row>
    <row r="657" ht="15.75" customHeight="1">
      <c r="C657" s="331"/>
    </row>
    <row r="658" ht="15.75" customHeight="1">
      <c r="C658" s="331"/>
    </row>
    <row r="659" ht="15.75" customHeight="1">
      <c r="C659" s="331"/>
    </row>
    <row r="660" ht="15.75" customHeight="1">
      <c r="C660" s="331"/>
    </row>
    <row r="661" ht="15.75" customHeight="1">
      <c r="C661" s="331"/>
    </row>
    <row r="662" ht="15.75" customHeight="1">
      <c r="C662" s="331"/>
    </row>
    <row r="663" ht="15.75" customHeight="1">
      <c r="C663" s="331"/>
    </row>
    <row r="664" ht="15.75" customHeight="1">
      <c r="C664" s="331"/>
    </row>
    <row r="665" ht="15.75" customHeight="1">
      <c r="C665" s="331"/>
    </row>
    <row r="666" ht="15.75" customHeight="1">
      <c r="C666" s="331"/>
    </row>
    <row r="667" ht="15.75" customHeight="1">
      <c r="C667" s="331"/>
    </row>
    <row r="668" ht="15.75" customHeight="1">
      <c r="C668" s="331"/>
    </row>
    <row r="669" ht="15.75" customHeight="1">
      <c r="C669" s="331"/>
    </row>
    <row r="670" ht="15.75" customHeight="1">
      <c r="C670" s="331"/>
    </row>
    <row r="671" ht="15.75" customHeight="1">
      <c r="C671" s="331"/>
    </row>
    <row r="672" ht="15.75" customHeight="1">
      <c r="C672" s="331"/>
    </row>
    <row r="673" ht="15.75" customHeight="1">
      <c r="C673" s="331"/>
    </row>
    <row r="674" ht="15.75" customHeight="1">
      <c r="C674" s="331"/>
    </row>
    <row r="675" ht="15.75" customHeight="1">
      <c r="C675" s="331"/>
    </row>
    <row r="676" ht="15.75" customHeight="1">
      <c r="C676" s="331"/>
    </row>
    <row r="677" ht="15.75" customHeight="1">
      <c r="C677" s="331"/>
    </row>
    <row r="678" ht="15.75" customHeight="1">
      <c r="C678" s="331"/>
    </row>
    <row r="679" ht="15.75" customHeight="1">
      <c r="C679" s="331"/>
    </row>
    <row r="680" ht="15.75" customHeight="1">
      <c r="C680" s="331"/>
    </row>
    <row r="681" ht="15.75" customHeight="1">
      <c r="C681" s="331"/>
    </row>
    <row r="682" ht="15.75" customHeight="1">
      <c r="C682" s="331"/>
    </row>
    <row r="683" ht="15.75" customHeight="1">
      <c r="C683" s="331"/>
    </row>
    <row r="684" ht="15.75" customHeight="1">
      <c r="C684" s="331"/>
    </row>
    <row r="685" ht="15.75" customHeight="1">
      <c r="C685" s="331"/>
    </row>
    <row r="686" ht="15.75" customHeight="1">
      <c r="C686" s="331"/>
    </row>
    <row r="687" ht="15.75" customHeight="1">
      <c r="C687" s="331"/>
    </row>
    <row r="688" ht="15.75" customHeight="1">
      <c r="C688" s="331"/>
    </row>
    <row r="689" ht="15.75" customHeight="1">
      <c r="C689" s="331"/>
    </row>
    <row r="690" ht="15.75" customHeight="1">
      <c r="C690" s="331"/>
    </row>
    <row r="691" ht="15.75" customHeight="1">
      <c r="C691" s="331"/>
    </row>
    <row r="692" ht="15.75" customHeight="1">
      <c r="C692" s="331"/>
    </row>
    <row r="693" ht="15.75" customHeight="1">
      <c r="C693" s="331"/>
    </row>
    <row r="694" ht="15.75" customHeight="1">
      <c r="C694" s="331"/>
    </row>
    <row r="695" ht="15.75" customHeight="1">
      <c r="C695" s="331"/>
    </row>
    <row r="696" ht="15.75" customHeight="1">
      <c r="C696" s="331"/>
    </row>
    <row r="697" ht="15.75" customHeight="1">
      <c r="C697" s="331"/>
    </row>
    <row r="698" ht="15.75" customHeight="1">
      <c r="C698" s="331"/>
    </row>
    <row r="699" ht="15.75" customHeight="1">
      <c r="C699" s="331"/>
    </row>
    <row r="700" ht="15.75" customHeight="1">
      <c r="C700" s="331"/>
    </row>
    <row r="701" ht="15.75" customHeight="1">
      <c r="C701" s="331"/>
    </row>
    <row r="702" ht="15.75" customHeight="1">
      <c r="C702" s="331"/>
    </row>
    <row r="703" ht="15.75" customHeight="1">
      <c r="C703" s="331"/>
    </row>
    <row r="704" ht="15.75" customHeight="1">
      <c r="C704" s="331"/>
    </row>
    <row r="705" ht="15.75" customHeight="1">
      <c r="C705" s="331"/>
    </row>
    <row r="706" ht="15.75" customHeight="1">
      <c r="C706" s="331"/>
    </row>
    <row r="707" ht="15.75" customHeight="1">
      <c r="C707" s="331"/>
    </row>
    <row r="708" ht="15.75" customHeight="1">
      <c r="C708" s="331"/>
    </row>
    <row r="709" ht="15.75" customHeight="1">
      <c r="C709" s="331"/>
    </row>
    <row r="710" ht="15.75" customHeight="1">
      <c r="C710" s="331"/>
    </row>
    <row r="711" ht="15.75" customHeight="1">
      <c r="C711" s="331"/>
    </row>
    <row r="712" ht="15.75" customHeight="1">
      <c r="C712" s="331"/>
    </row>
    <row r="713" ht="15.75" customHeight="1">
      <c r="C713" s="331"/>
    </row>
    <row r="714" ht="15.75" customHeight="1">
      <c r="C714" s="331"/>
    </row>
    <row r="715" ht="15.75" customHeight="1">
      <c r="C715" s="331"/>
    </row>
    <row r="716" ht="15.75" customHeight="1">
      <c r="C716" s="331"/>
    </row>
    <row r="717" ht="15.75" customHeight="1">
      <c r="C717" s="331"/>
    </row>
    <row r="718" ht="15.75" customHeight="1">
      <c r="C718" s="331"/>
    </row>
    <row r="719" ht="15.75" customHeight="1">
      <c r="C719" s="331"/>
    </row>
    <row r="720" ht="15.75" customHeight="1">
      <c r="C720" s="331"/>
    </row>
    <row r="721" ht="15.75" customHeight="1">
      <c r="C721" s="331"/>
    </row>
    <row r="722" ht="15.75" customHeight="1">
      <c r="C722" s="331"/>
    </row>
    <row r="723" ht="15.75" customHeight="1">
      <c r="C723" s="331"/>
    </row>
    <row r="724" ht="15.75" customHeight="1">
      <c r="C724" s="331"/>
    </row>
    <row r="725" ht="15.75" customHeight="1">
      <c r="C725" s="331"/>
    </row>
    <row r="726" ht="15.75" customHeight="1">
      <c r="C726" s="331"/>
    </row>
    <row r="727" ht="15.75" customHeight="1">
      <c r="C727" s="331"/>
    </row>
    <row r="728" ht="15.75" customHeight="1">
      <c r="C728" s="331"/>
    </row>
    <row r="729" ht="15.75" customHeight="1">
      <c r="C729" s="331"/>
    </row>
    <row r="730" ht="15.75" customHeight="1">
      <c r="C730" s="331"/>
    </row>
    <row r="731" ht="15.75" customHeight="1">
      <c r="C731" s="331"/>
    </row>
    <row r="732" ht="15.75" customHeight="1">
      <c r="C732" s="331"/>
    </row>
    <row r="733" ht="15.75" customHeight="1">
      <c r="C733" s="331"/>
    </row>
    <row r="734" ht="15.75" customHeight="1">
      <c r="C734" s="331"/>
    </row>
    <row r="735" ht="15.75" customHeight="1">
      <c r="C735" s="331"/>
    </row>
    <row r="736" ht="15.75" customHeight="1">
      <c r="C736" s="331"/>
    </row>
    <row r="737" ht="15.75" customHeight="1">
      <c r="C737" s="331"/>
    </row>
    <row r="738" ht="15.75" customHeight="1">
      <c r="C738" s="331"/>
    </row>
    <row r="739" ht="15.75" customHeight="1">
      <c r="C739" s="331"/>
    </row>
    <row r="740" ht="15.75" customHeight="1">
      <c r="C740" s="331"/>
    </row>
    <row r="741" ht="15.75" customHeight="1">
      <c r="C741" s="331"/>
    </row>
    <row r="742" ht="15.75" customHeight="1">
      <c r="C742" s="331"/>
    </row>
    <row r="743" ht="15.75" customHeight="1">
      <c r="C743" s="331"/>
    </row>
    <row r="744" ht="15.75" customHeight="1">
      <c r="C744" s="331"/>
    </row>
    <row r="745" ht="15.75" customHeight="1">
      <c r="C745" s="331"/>
    </row>
    <row r="746" ht="15.75" customHeight="1">
      <c r="C746" s="331"/>
    </row>
    <row r="747" ht="15.75" customHeight="1">
      <c r="C747" s="331"/>
    </row>
    <row r="748" ht="15.75" customHeight="1">
      <c r="C748" s="331"/>
    </row>
    <row r="749" ht="15.75" customHeight="1">
      <c r="C749" s="331"/>
    </row>
    <row r="750" ht="15.75" customHeight="1">
      <c r="C750" s="331"/>
    </row>
    <row r="751" ht="15.75" customHeight="1">
      <c r="C751" s="331"/>
    </row>
    <row r="752" ht="15.75" customHeight="1">
      <c r="C752" s="331"/>
    </row>
    <row r="753" ht="15.75" customHeight="1">
      <c r="C753" s="331"/>
    </row>
    <row r="754" ht="15.75" customHeight="1">
      <c r="C754" s="331"/>
    </row>
    <row r="755" ht="15.75" customHeight="1">
      <c r="C755" s="331"/>
    </row>
    <row r="756" ht="15.75" customHeight="1">
      <c r="C756" s="331"/>
    </row>
    <row r="757" ht="15.75" customHeight="1">
      <c r="C757" s="331"/>
    </row>
    <row r="758" ht="15.75" customHeight="1">
      <c r="C758" s="331"/>
    </row>
    <row r="759" ht="15.75" customHeight="1">
      <c r="C759" s="331"/>
    </row>
    <row r="760" ht="15.75" customHeight="1">
      <c r="C760" s="331"/>
    </row>
    <row r="761" ht="15.75" customHeight="1">
      <c r="C761" s="331"/>
    </row>
    <row r="762" ht="15.75" customHeight="1">
      <c r="C762" s="331"/>
    </row>
    <row r="763" ht="15.75" customHeight="1">
      <c r="C763" s="331"/>
    </row>
    <row r="764" ht="15.75" customHeight="1">
      <c r="C764" s="331"/>
    </row>
    <row r="765" ht="15.75" customHeight="1">
      <c r="C765" s="331"/>
    </row>
    <row r="766" ht="15.75" customHeight="1">
      <c r="C766" s="331"/>
    </row>
    <row r="767" ht="15.75" customHeight="1">
      <c r="C767" s="331"/>
    </row>
    <row r="768" ht="15.75" customHeight="1">
      <c r="C768" s="331"/>
    </row>
    <row r="769" ht="15.75" customHeight="1">
      <c r="C769" s="331"/>
    </row>
    <row r="770" ht="15.75" customHeight="1">
      <c r="C770" s="331"/>
    </row>
    <row r="771" ht="15.75" customHeight="1">
      <c r="C771" s="331"/>
    </row>
    <row r="772" ht="15.75" customHeight="1">
      <c r="C772" s="331"/>
    </row>
    <row r="773" ht="15.75" customHeight="1">
      <c r="C773" s="331"/>
    </row>
    <row r="774" ht="15.75" customHeight="1">
      <c r="C774" s="331"/>
    </row>
    <row r="775" ht="15.75" customHeight="1">
      <c r="C775" s="331"/>
    </row>
    <row r="776" ht="15.75" customHeight="1">
      <c r="C776" s="331"/>
    </row>
    <row r="777" ht="15.75" customHeight="1">
      <c r="C777" s="331"/>
    </row>
    <row r="778" ht="15.75" customHeight="1">
      <c r="C778" s="331"/>
    </row>
    <row r="779" ht="15.75" customHeight="1">
      <c r="C779" s="331"/>
    </row>
    <row r="780" ht="15.75" customHeight="1">
      <c r="C780" s="331"/>
    </row>
    <row r="781" ht="15.75" customHeight="1">
      <c r="C781" s="331"/>
    </row>
    <row r="782" ht="15.75" customHeight="1">
      <c r="C782" s="331"/>
    </row>
    <row r="783" ht="15.75" customHeight="1">
      <c r="C783" s="331"/>
    </row>
    <row r="784" ht="15.75" customHeight="1">
      <c r="C784" s="331"/>
    </row>
    <row r="785" ht="15.75" customHeight="1">
      <c r="C785" s="331"/>
    </row>
    <row r="786" ht="15.75" customHeight="1">
      <c r="C786" s="331"/>
    </row>
    <row r="787" ht="15.75" customHeight="1">
      <c r="C787" s="331"/>
    </row>
    <row r="788" ht="15.75" customHeight="1">
      <c r="C788" s="331"/>
    </row>
    <row r="789" ht="15.75" customHeight="1">
      <c r="C789" s="331"/>
    </row>
    <row r="790" ht="15.75" customHeight="1">
      <c r="C790" s="331"/>
    </row>
    <row r="791" ht="15.75" customHeight="1">
      <c r="C791" s="331"/>
    </row>
    <row r="792" ht="15.75" customHeight="1">
      <c r="C792" s="331"/>
    </row>
    <row r="793" ht="15.75" customHeight="1">
      <c r="C793" s="331"/>
    </row>
    <row r="794" ht="15.75" customHeight="1">
      <c r="C794" s="331"/>
    </row>
    <row r="795" ht="15.75" customHeight="1">
      <c r="C795" s="331"/>
    </row>
    <row r="796" ht="15.75" customHeight="1">
      <c r="C796" s="331"/>
    </row>
    <row r="797" ht="15.75" customHeight="1">
      <c r="C797" s="331"/>
    </row>
    <row r="798" ht="15.75" customHeight="1">
      <c r="C798" s="331"/>
    </row>
    <row r="799" ht="15.75" customHeight="1">
      <c r="C799" s="331"/>
    </row>
    <row r="800" ht="15.75" customHeight="1">
      <c r="C800" s="331"/>
    </row>
    <row r="801" ht="15.75" customHeight="1">
      <c r="C801" s="331"/>
    </row>
    <row r="802" ht="15.75" customHeight="1">
      <c r="C802" s="331"/>
    </row>
    <row r="803" ht="15.75" customHeight="1">
      <c r="C803" s="331"/>
    </row>
    <row r="804" ht="15.75" customHeight="1">
      <c r="C804" s="331"/>
    </row>
    <row r="805" ht="15.75" customHeight="1">
      <c r="C805" s="331"/>
    </row>
    <row r="806" ht="15.75" customHeight="1">
      <c r="C806" s="331"/>
    </row>
    <row r="807" ht="15.75" customHeight="1">
      <c r="C807" s="331"/>
    </row>
    <row r="808" ht="15.75" customHeight="1">
      <c r="C808" s="331"/>
    </row>
    <row r="809" ht="15.75" customHeight="1">
      <c r="C809" s="331"/>
    </row>
    <row r="810" ht="15.75" customHeight="1">
      <c r="C810" s="331"/>
    </row>
    <row r="811" ht="15.75" customHeight="1">
      <c r="C811" s="331"/>
    </row>
    <row r="812" ht="15.75" customHeight="1">
      <c r="C812" s="331"/>
    </row>
    <row r="813" ht="15.75" customHeight="1">
      <c r="C813" s="331"/>
    </row>
    <row r="814" ht="15.75" customHeight="1">
      <c r="C814" s="331"/>
    </row>
    <row r="815" ht="15.75" customHeight="1">
      <c r="C815" s="331"/>
    </row>
    <row r="816" ht="15.75" customHeight="1">
      <c r="C816" s="331"/>
    </row>
    <row r="817" ht="15.75" customHeight="1">
      <c r="C817" s="331"/>
    </row>
    <row r="818" ht="15.75" customHeight="1">
      <c r="C818" s="331"/>
    </row>
    <row r="819" ht="15.75" customHeight="1">
      <c r="C819" s="331"/>
    </row>
    <row r="820" ht="15.75" customHeight="1">
      <c r="C820" s="331"/>
    </row>
    <row r="821" ht="15.75" customHeight="1">
      <c r="C821" s="331"/>
    </row>
    <row r="822" ht="15.75" customHeight="1">
      <c r="C822" s="331"/>
    </row>
    <row r="823" ht="15.75" customHeight="1">
      <c r="C823" s="331"/>
    </row>
    <row r="824" ht="15.75" customHeight="1">
      <c r="C824" s="331"/>
    </row>
    <row r="825" ht="15.75" customHeight="1">
      <c r="C825" s="331"/>
    </row>
    <row r="826" ht="15.75" customHeight="1">
      <c r="C826" s="331"/>
    </row>
    <row r="827" ht="15.75" customHeight="1">
      <c r="C827" s="331"/>
    </row>
    <row r="828" ht="15.75" customHeight="1">
      <c r="C828" s="331"/>
    </row>
    <row r="829" ht="15.75" customHeight="1">
      <c r="C829" s="331"/>
    </row>
    <row r="830" ht="15.75" customHeight="1">
      <c r="C830" s="331"/>
    </row>
    <row r="831" ht="15.75" customHeight="1">
      <c r="C831" s="331"/>
    </row>
    <row r="832" ht="15.75" customHeight="1">
      <c r="C832" s="331"/>
    </row>
    <row r="833" ht="15.75" customHeight="1">
      <c r="C833" s="331"/>
    </row>
    <row r="834" ht="15.75" customHeight="1">
      <c r="C834" s="331"/>
    </row>
    <row r="835" ht="15.75" customHeight="1">
      <c r="C835" s="331"/>
    </row>
    <row r="836" ht="15.75" customHeight="1">
      <c r="C836" s="331"/>
    </row>
    <row r="837" ht="15.75" customHeight="1">
      <c r="C837" s="331"/>
    </row>
    <row r="838" ht="15.75" customHeight="1">
      <c r="C838" s="331"/>
    </row>
    <row r="839" ht="15.75" customHeight="1">
      <c r="C839" s="331"/>
    </row>
    <row r="840" ht="15.75" customHeight="1">
      <c r="C840" s="331"/>
    </row>
    <row r="841" ht="15.75" customHeight="1">
      <c r="C841" s="331"/>
    </row>
    <row r="842" ht="15.75" customHeight="1">
      <c r="C842" s="331"/>
    </row>
    <row r="843" ht="15.75" customHeight="1">
      <c r="C843" s="331"/>
    </row>
    <row r="844" ht="15.75" customHeight="1">
      <c r="C844" s="331"/>
    </row>
    <row r="845" ht="15.75" customHeight="1">
      <c r="C845" s="331"/>
    </row>
    <row r="846" ht="15.75" customHeight="1">
      <c r="C846" s="331"/>
    </row>
    <row r="847" ht="15.75" customHeight="1">
      <c r="C847" s="331"/>
    </row>
    <row r="848" ht="15.75" customHeight="1">
      <c r="C848" s="331"/>
    </row>
    <row r="849" ht="15.75" customHeight="1">
      <c r="C849" s="331"/>
    </row>
    <row r="850" ht="15.75" customHeight="1">
      <c r="C850" s="331"/>
    </row>
    <row r="851" ht="15.75" customHeight="1">
      <c r="C851" s="331"/>
    </row>
    <row r="852" ht="15.75" customHeight="1">
      <c r="C852" s="331"/>
    </row>
    <row r="853" ht="15.75" customHeight="1">
      <c r="C853" s="331"/>
    </row>
    <row r="854" ht="15.75" customHeight="1">
      <c r="C854" s="331"/>
    </row>
    <row r="855" ht="15.75" customHeight="1">
      <c r="C855" s="331"/>
    </row>
    <row r="856" ht="15.75" customHeight="1">
      <c r="C856" s="331"/>
    </row>
    <row r="857" ht="15.75" customHeight="1">
      <c r="C857" s="331"/>
    </row>
    <row r="858" ht="15.75" customHeight="1">
      <c r="C858" s="331"/>
    </row>
    <row r="859" ht="15.75" customHeight="1">
      <c r="C859" s="331"/>
    </row>
    <row r="860" ht="15.75" customHeight="1">
      <c r="C860" s="331"/>
    </row>
    <row r="861" ht="15.75" customHeight="1">
      <c r="C861" s="331"/>
    </row>
    <row r="862" ht="15.75" customHeight="1">
      <c r="C862" s="331"/>
    </row>
    <row r="863" ht="15.75" customHeight="1">
      <c r="C863" s="331"/>
    </row>
    <row r="864" ht="15.75" customHeight="1">
      <c r="C864" s="331"/>
    </row>
    <row r="865" ht="15.75" customHeight="1">
      <c r="C865" s="331"/>
    </row>
    <row r="866" ht="15.75" customHeight="1">
      <c r="C866" s="331"/>
    </row>
    <row r="867" ht="15.75" customHeight="1">
      <c r="C867" s="331"/>
    </row>
    <row r="868" ht="15.75" customHeight="1">
      <c r="C868" s="331"/>
    </row>
    <row r="869" ht="15.75" customHeight="1">
      <c r="C869" s="331"/>
    </row>
    <row r="870" ht="15.75" customHeight="1">
      <c r="C870" s="331"/>
    </row>
    <row r="871" ht="15.75" customHeight="1">
      <c r="C871" s="331"/>
    </row>
    <row r="872" ht="15.75" customHeight="1">
      <c r="C872" s="331"/>
    </row>
    <row r="873" ht="15.75" customHeight="1">
      <c r="C873" s="331"/>
    </row>
    <row r="874" ht="15.75" customHeight="1">
      <c r="C874" s="331"/>
    </row>
    <row r="875" ht="15.75" customHeight="1">
      <c r="C875" s="331"/>
    </row>
    <row r="876" ht="15.75" customHeight="1">
      <c r="C876" s="331"/>
    </row>
    <row r="877" ht="15.75" customHeight="1">
      <c r="C877" s="331"/>
    </row>
    <row r="878" ht="15.75" customHeight="1">
      <c r="C878" s="331"/>
    </row>
    <row r="879" ht="15.75" customHeight="1">
      <c r="C879" s="331"/>
    </row>
    <row r="880" ht="15.75" customHeight="1">
      <c r="C880" s="331"/>
    </row>
    <row r="881" ht="15.75" customHeight="1">
      <c r="C881" s="331"/>
    </row>
    <row r="882" ht="15.75" customHeight="1">
      <c r="C882" s="331"/>
    </row>
    <row r="883" ht="15.75" customHeight="1">
      <c r="C883" s="331"/>
    </row>
    <row r="884" ht="15.75" customHeight="1">
      <c r="C884" s="331"/>
    </row>
    <row r="885" ht="15.75" customHeight="1">
      <c r="C885" s="331"/>
    </row>
    <row r="886" ht="15.75" customHeight="1">
      <c r="C886" s="331"/>
    </row>
    <row r="887" ht="15.75" customHeight="1">
      <c r="C887" s="331"/>
    </row>
    <row r="888" ht="15.75" customHeight="1">
      <c r="C888" s="331"/>
    </row>
    <row r="889" ht="15.75" customHeight="1">
      <c r="C889" s="331"/>
    </row>
    <row r="890" ht="15.75" customHeight="1">
      <c r="C890" s="331"/>
    </row>
    <row r="891" ht="15.75" customHeight="1">
      <c r="C891" s="331"/>
    </row>
    <row r="892" ht="15.75" customHeight="1">
      <c r="C892" s="331"/>
    </row>
    <row r="893" ht="15.75" customHeight="1">
      <c r="C893" s="331"/>
    </row>
    <row r="894" ht="15.75" customHeight="1">
      <c r="C894" s="331"/>
    </row>
    <row r="895" ht="15.75" customHeight="1">
      <c r="C895" s="331"/>
    </row>
    <row r="896" ht="15.75" customHeight="1">
      <c r="C896" s="331"/>
    </row>
    <row r="897" ht="15.75" customHeight="1">
      <c r="C897" s="331"/>
    </row>
    <row r="898" ht="15.75" customHeight="1">
      <c r="C898" s="331"/>
    </row>
    <row r="899" ht="15.75" customHeight="1">
      <c r="C899" s="331"/>
    </row>
    <row r="900" ht="15.75" customHeight="1">
      <c r="C900" s="331"/>
    </row>
    <row r="901" ht="15.75" customHeight="1">
      <c r="C901" s="331"/>
    </row>
    <row r="902" ht="15.75" customHeight="1">
      <c r="C902" s="331"/>
    </row>
    <row r="903" ht="15.75" customHeight="1">
      <c r="C903" s="331"/>
    </row>
    <row r="904" ht="15.75" customHeight="1">
      <c r="C904" s="331"/>
    </row>
    <row r="905" ht="15.75" customHeight="1">
      <c r="C905" s="331"/>
    </row>
    <row r="906" ht="15.75" customHeight="1">
      <c r="C906" s="331"/>
    </row>
    <row r="907" ht="15.75" customHeight="1">
      <c r="C907" s="331"/>
    </row>
    <row r="908" ht="15.75" customHeight="1">
      <c r="C908" s="331"/>
    </row>
    <row r="909" ht="15.75" customHeight="1">
      <c r="C909" s="331"/>
    </row>
    <row r="910" ht="15.75" customHeight="1">
      <c r="C910" s="331"/>
    </row>
    <row r="911" ht="15.75" customHeight="1">
      <c r="C911" s="331"/>
    </row>
    <row r="912" ht="15.75" customHeight="1">
      <c r="C912" s="331"/>
    </row>
    <row r="913" ht="15.75" customHeight="1">
      <c r="C913" s="331"/>
    </row>
    <row r="914" ht="15.75" customHeight="1">
      <c r="C914" s="331"/>
    </row>
    <row r="915" ht="15.75" customHeight="1">
      <c r="C915" s="331"/>
    </row>
    <row r="916" ht="15.75" customHeight="1">
      <c r="C916" s="331"/>
    </row>
    <row r="917" ht="15.75" customHeight="1">
      <c r="C917" s="331"/>
    </row>
    <row r="918" ht="15.75" customHeight="1">
      <c r="C918" s="331"/>
    </row>
    <row r="919" ht="15.75" customHeight="1">
      <c r="C919" s="331"/>
    </row>
    <row r="920" ht="15.75" customHeight="1">
      <c r="C920" s="331"/>
    </row>
    <row r="921" ht="15.75" customHeight="1">
      <c r="C921" s="331"/>
    </row>
    <row r="922" ht="15.75" customHeight="1">
      <c r="C922" s="331"/>
    </row>
    <row r="923" ht="15.75" customHeight="1">
      <c r="C923" s="331"/>
    </row>
    <row r="924" ht="15.75" customHeight="1">
      <c r="C924" s="331"/>
    </row>
    <row r="925" ht="15.75" customHeight="1">
      <c r="C925" s="331"/>
    </row>
    <row r="926" ht="15.75" customHeight="1">
      <c r="C926" s="331"/>
    </row>
    <row r="927" ht="15.75" customHeight="1">
      <c r="C927" s="331"/>
    </row>
    <row r="928" ht="15.75" customHeight="1">
      <c r="C928" s="331"/>
    </row>
    <row r="929" ht="15.75" customHeight="1">
      <c r="C929" s="331"/>
    </row>
    <row r="930" ht="15.75" customHeight="1">
      <c r="C930" s="331"/>
    </row>
    <row r="931" ht="15.75" customHeight="1">
      <c r="C931" s="331"/>
    </row>
    <row r="932" ht="15.75" customHeight="1">
      <c r="C932" s="331"/>
    </row>
    <row r="933" ht="15.75" customHeight="1">
      <c r="C933" s="331"/>
    </row>
    <row r="934" ht="15.75" customHeight="1">
      <c r="C934" s="331"/>
    </row>
    <row r="935" ht="15.75" customHeight="1">
      <c r="C935" s="331"/>
    </row>
    <row r="936" ht="15.75" customHeight="1">
      <c r="C936" s="331"/>
    </row>
    <row r="937" ht="15.75" customHeight="1">
      <c r="C937" s="331"/>
    </row>
    <row r="938" ht="15.75" customHeight="1">
      <c r="C938" s="331"/>
    </row>
    <row r="939" ht="15.75" customHeight="1">
      <c r="C939" s="331"/>
    </row>
    <row r="940" ht="15.75" customHeight="1">
      <c r="C940" s="331"/>
    </row>
    <row r="941" ht="15.75" customHeight="1">
      <c r="C941" s="331"/>
    </row>
    <row r="942" ht="15.75" customHeight="1">
      <c r="C942" s="331"/>
    </row>
    <row r="943" ht="15.75" customHeight="1">
      <c r="C943" s="331"/>
    </row>
    <row r="944" ht="15.75" customHeight="1">
      <c r="C944" s="331"/>
    </row>
    <row r="945" ht="15.75" customHeight="1">
      <c r="C945" s="331"/>
    </row>
    <row r="946" ht="15.75" customHeight="1">
      <c r="C946" s="331"/>
    </row>
    <row r="947" ht="15.75" customHeight="1">
      <c r="C947" s="331"/>
    </row>
    <row r="948" ht="15.75" customHeight="1">
      <c r="C948" s="331"/>
    </row>
    <row r="949" ht="15.75" customHeight="1">
      <c r="C949" s="331"/>
    </row>
    <row r="950" ht="15.75" customHeight="1">
      <c r="C950" s="331"/>
    </row>
    <row r="951" ht="15.75" customHeight="1">
      <c r="C951" s="331"/>
    </row>
    <row r="952" ht="15.75" customHeight="1">
      <c r="C952" s="331"/>
    </row>
    <row r="953" ht="15.75" customHeight="1">
      <c r="C953" s="331"/>
    </row>
    <row r="954" ht="15.75" customHeight="1">
      <c r="C954" s="331"/>
    </row>
    <row r="955" ht="15.75" customHeight="1">
      <c r="C955" s="331"/>
    </row>
    <row r="956" ht="15.75" customHeight="1">
      <c r="C956" s="331"/>
    </row>
    <row r="957" ht="15.75" customHeight="1">
      <c r="C957" s="331"/>
    </row>
    <row r="958" ht="15.75" customHeight="1">
      <c r="C958" s="331"/>
    </row>
    <row r="959" ht="15.75" customHeight="1">
      <c r="C959" s="331"/>
    </row>
    <row r="960" ht="15.75" customHeight="1">
      <c r="C960" s="331"/>
    </row>
    <row r="961" ht="15.75" customHeight="1">
      <c r="C961" s="331"/>
    </row>
    <row r="962" ht="15.75" customHeight="1">
      <c r="C962" s="331"/>
    </row>
    <row r="963" ht="15.75" customHeight="1">
      <c r="C963" s="331"/>
    </row>
    <row r="964" ht="15.75" customHeight="1">
      <c r="C964" s="331"/>
    </row>
    <row r="965" ht="15.75" customHeight="1">
      <c r="C965" s="331"/>
    </row>
    <row r="966" ht="15.75" customHeight="1">
      <c r="C966" s="331"/>
    </row>
    <row r="967" ht="15.75" customHeight="1">
      <c r="C967" s="331"/>
    </row>
    <row r="968" ht="15.75" customHeight="1">
      <c r="C968" s="331"/>
    </row>
    <row r="969" ht="15.75" customHeight="1">
      <c r="C969" s="331"/>
    </row>
    <row r="970" ht="15.75" customHeight="1">
      <c r="C970" s="331"/>
    </row>
    <row r="971" ht="15.75" customHeight="1">
      <c r="C971" s="331"/>
    </row>
    <row r="972" ht="15.75" customHeight="1">
      <c r="C972" s="331"/>
    </row>
    <row r="973" ht="15.75" customHeight="1">
      <c r="C973" s="331"/>
    </row>
    <row r="974" ht="15.75" customHeight="1">
      <c r="C974" s="331"/>
    </row>
    <row r="975" ht="15.75" customHeight="1">
      <c r="C975" s="331"/>
    </row>
    <row r="976" ht="15.75" customHeight="1">
      <c r="C976" s="331"/>
    </row>
    <row r="977" ht="15.75" customHeight="1">
      <c r="C977" s="331"/>
    </row>
    <row r="978" ht="15.75" customHeight="1">
      <c r="C978" s="331"/>
    </row>
    <row r="979" ht="15.75" customHeight="1">
      <c r="C979" s="331"/>
    </row>
    <row r="980" ht="15.75" customHeight="1">
      <c r="C980" s="331"/>
    </row>
    <row r="981" ht="15.75" customHeight="1">
      <c r="C981" s="331"/>
    </row>
    <row r="982" ht="15.75" customHeight="1">
      <c r="C982" s="331"/>
    </row>
    <row r="983" ht="15.75" customHeight="1">
      <c r="C983" s="331"/>
    </row>
    <row r="984" ht="15.75" customHeight="1">
      <c r="C984" s="331"/>
    </row>
    <row r="985" ht="15.75" customHeight="1">
      <c r="C985" s="331"/>
    </row>
    <row r="986" ht="15.75" customHeight="1">
      <c r="C986" s="331"/>
    </row>
    <row r="987" ht="15.75" customHeight="1">
      <c r="C987" s="331"/>
    </row>
    <row r="988" ht="15.75" customHeight="1">
      <c r="C988" s="331"/>
    </row>
    <row r="989" ht="15.75" customHeight="1">
      <c r="C989" s="331"/>
    </row>
    <row r="990" ht="15.75" customHeight="1">
      <c r="C990" s="331"/>
    </row>
    <row r="991" ht="15.75" customHeight="1">
      <c r="C991" s="331"/>
    </row>
    <row r="992" ht="15.75" customHeight="1">
      <c r="C992" s="331"/>
    </row>
    <row r="993" ht="15.75" customHeight="1">
      <c r="C993" s="331"/>
    </row>
    <row r="994" ht="15.75" customHeight="1">
      <c r="C994" s="331"/>
    </row>
    <row r="995" ht="15.75" customHeight="1">
      <c r="C995" s="331"/>
    </row>
    <row r="996" ht="15.75" customHeight="1">
      <c r="C996" s="331"/>
    </row>
    <row r="997" ht="15.75" customHeight="1">
      <c r="C997" s="331"/>
    </row>
    <row r="998" ht="15.75" customHeight="1">
      <c r="C998" s="331"/>
    </row>
    <row r="999" ht="15.75" customHeight="1">
      <c r="C999" s="331"/>
    </row>
    <row r="1000" ht="15.75" customHeight="1">
      <c r="C1000" s="331"/>
    </row>
  </sheetData>
  <printOptions/>
  <pageMargins bottom="0.75" footer="0.0" header="0.0" left="0.7" right="0.7" top="0.75"/>
  <pageSetup paperSize="9" scale="7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5.86"/>
    <col customWidth="1" min="3" max="3" width="25.57"/>
    <col customWidth="1" min="4" max="4" width="14.57"/>
    <col customWidth="1" min="5" max="5" width="20.86"/>
    <col customWidth="1" min="6" max="6" width="14.86"/>
    <col customWidth="1" min="7" max="7" width="20.57"/>
    <col customWidth="1" min="8" max="26" width="8.71"/>
  </cols>
  <sheetData>
    <row r="1">
      <c r="A1" s="350" t="s">
        <v>742</v>
      </c>
    </row>
    <row r="2">
      <c r="A2" s="351" t="s">
        <v>7</v>
      </c>
    </row>
    <row r="4">
      <c r="A4" s="352" t="s">
        <v>15</v>
      </c>
      <c r="B4" s="352" t="s">
        <v>19</v>
      </c>
      <c r="C4" s="353" t="s">
        <v>350</v>
      </c>
      <c r="D4" s="31"/>
      <c r="E4" s="353" t="s">
        <v>351</v>
      </c>
      <c r="F4" s="31"/>
      <c r="G4" s="354" t="s">
        <v>352</v>
      </c>
    </row>
    <row r="5">
      <c r="A5" s="36"/>
      <c r="B5" s="36"/>
      <c r="C5" s="355" t="s">
        <v>354</v>
      </c>
      <c r="D5" s="356" t="s">
        <v>355</v>
      </c>
      <c r="E5" s="355" t="s">
        <v>354</v>
      </c>
      <c r="F5" s="356" t="s">
        <v>355</v>
      </c>
      <c r="G5" s="36"/>
    </row>
    <row r="6" ht="15.0" customHeight="1">
      <c r="A6" s="41">
        <v>1.0</v>
      </c>
      <c r="B6" s="104" t="s">
        <v>10</v>
      </c>
      <c r="C6" s="202" t="s">
        <v>358</v>
      </c>
      <c r="D6" s="203">
        <v>46500.0</v>
      </c>
      <c r="E6" s="204" t="s">
        <v>359</v>
      </c>
      <c r="F6" s="205">
        <v>46500.0</v>
      </c>
      <c r="G6" s="206" t="s">
        <v>360</v>
      </c>
      <c r="I6" s="57"/>
    </row>
    <row r="7" ht="15.0" customHeight="1">
      <c r="A7" s="46">
        <v>2.0</v>
      </c>
      <c r="B7" s="142" t="s">
        <v>16</v>
      </c>
      <c r="C7" s="357" t="s">
        <v>744</v>
      </c>
      <c r="D7" s="205">
        <v>46542.0</v>
      </c>
      <c r="E7" s="204" t="s">
        <v>362</v>
      </c>
      <c r="F7" s="205">
        <v>46542.0</v>
      </c>
      <c r="G7" s="204"/>
      <c r="I7" s="57"/>
    </row>
    <row r="8" ht="15.0" customHeight="1">
      <c r="A8" s="41">
        <v>3.0</v>
      </c>
      <c r="B8" s="142" t="s">
        <v>88</v>
      </c>
      <c r="C8" s="204" t="s">
        <v>364</v>
      </c>
      <c r="D8" s="205">
        <v>46736.0</v>
      </c>
      <c r="E8" s="204" t="s">
        <v>365</v>
      </c>
      <c r="F8" s="205">
        <v>46736.0</v>
      </c>
      <c r="G8" s="204"/>
      <c r="I8" s="57"/>
    </row>
    <row r="9" ht="15.0" customHeight="1">
      <c r="A9" s="46">
        <v>4.0</v>
      </c>
      <c r="B9" s="142" t="s">
        <v>22</v>
      </c>
      <c r="C9" s="204" t="s">
        <v>367</v>
      </c>
      <c r="D9" s="205">
        <v>46515.0</v>
      </c>
      <c r="E9" s="204" t="s">
        <v>368</v>
      </c>
      <c r="F9" s="205">
        <v>46515.0</v>
      </c>
      <c r="G9" s="204"/>
      <c r="I9" s="57"/>
    </row>
    <row r="10" ht="15.0" customHeight="1">
      <c r="A10" s="41">
        <v>5.0</v>
      </c>
      <c r="B10" s="142" t="s">
        <v>32</v>
      </c>
      <c r="C10" s="210" t="s">
        <v>745</v>
      </c>
      <c r="D10" s="205">
        <v>47056.0</v>
      </c>
      <c r="E10" s="204" t="s">
        <v>746</v>
      </c>
      <c r="F10" s="205">
        <v>47056.0</v>
      </c>
      <c r="G10" s="211"/>
      <c r="I10" s="57"/>
    </row>
    <row r="11" ht="15.0" customHeight="1">
      <c r="A11" s="46">
        <v>6.0</v>
      </c>
      <c r="B11" s="142" t="s">
        <v>35</v>
      </c>
      <c r="C11" s="211" t="s">
        <v>372</v>
      </c>
      <c r="D11" s="205">
        <v>46412.0</v>
      </c>
      <c r="E11" s="213"/>
      <c r="F11" s="214"/>
      <c r="G11" s="215" t="s">
        <v>373</v>
      </c>
      <c r="I11" s="57"/>
    </row>
    <row r="12" ht="15.0" customHeight="1">
      <c r="A12" s="41">
        <v>7.0</v>
      </c>
      <c r="B12" s="142" t="s">
        <v>39</v>
      </c>
      <c r="C12" s="216" t="s">
        <v>376</v>
      </c>
      <c r="D12" s="217">
        <v>46207.0</v>
      </c>
      <c r="E12" s="218" t="s">
        <v>377</v>
      </c>
      <c r="F12" s="217">
        <v>46207.0</v>
      </c>
      <c r="G12" s="216"/>
      <c r="I12" s="57"/>
    </row>
    <row r="13" ht="15.0" customHeight="1">
      <c r="A13" s="46">
        <v>8.0</v>
      </c>
      <c r="B13" s="142" t="s">
        <v>49</v>
      </c>
      <c r="C13" s="219" t="s">
        <v>379</v>
      </c>
      <c r="D13" s="203">
        <v>44812.0</v>
      </c>
      <c r="E13" s="220" t="s">
        <v>380</v>
      </c>
      <c r="F13" s="203">
        <v>44812.0</v>
      </c>
      <c r="G13" s="215" t="s">
        <v>381</v>
      </c>
      <c r="I13" s="57"/>
    </row>
    <row r="14" ht="15.0" customHeight="1">
      <c r="A14" s="46">
        <v>10.0</v>
      </c>
      <c r="B14" s="142" t="s">
        <v>61</v>
      </c>
      <c r="C14" s="211" t="s">
        <v>392</v>
      </c>
      <c r="D14" s="205">
        <v>46718.0</v>
      </c>
      <c r="E14" s="218" t="s">
        <v>748</v>
      </c>
      <c r="F14" s="205">
        <v>46718.0</v>
      </c>
      <c r="G14" s="215"/>
      <c r="I14" s="57"/>
    </row>
    <row r="15" ht="15.0" customHeight="1">
      <c r="A15" s="41">
        <v>11.0</v>
      </c>
      <c r="B15" s="142" t="s">
        <v>66</v>
      </c>
      <c r="C15" s="358" t="s">
        <v>749</v>
      </c>
      <c r="D15" s="205">
        <v>45361.0</v>
      </c>
      <c r="E15" s="204" t="s">
        <v>396</v>
      </c>
      <c r="F15" s="205">
        <v>45361.0</v>
      </c>
      <c r="G15" s="211"/>
      <c r="I15" s="57"/>
    </row>
    <row r="16" ht="15.0" customHeight="1">
      <c r="A16" s="46">
        <v>12.0</v>
      </c>
      <c r="B16" s="142" t="s">
        <v>69</v>
      </c>
      <c r="C16" s="211" t="s">
        <v>398</v>
      </c>
      <c r="D16" s="205">
        <v>46818.0</v>
      </c>
      <c r="E16" s="220" t="s">
        <v>399</v>
      </c>
      <c r="F16" s="203">
        <v>44626.0</v>
      </c>
      <c r="G16" s="215" t="s">
        <v>394</v>
      </c>
      <c r="I16" s="57"/>
    </row>
    <row r="17" ht="15.0" customHeight="1">
      <c r="A17" s="41">
        <v>13.0</v>
      </c>
      <c r="B17" s="142" t="s">
        <v>72</v>
      </c>
      <c r="C17" s="211" t="s">
        <v>401</v>
      </c>
      <c r="D17" s="205">
        <v>46605.0</v>
      </c>
      <c r="E17" s="204" t="s">
        <v>402</v>
      </c>
      <c r="F17" s="226" t="s">
        <v>403</v>
      </c>
      <c r="G17" s="211"/>
      <c r="I17" s="57"/>
    </row>
    <row r="18" ht="15.0" customHeight="1">
      <c r="A18" s="46">
        <v>14.0</v>
      </c>
      <c r="B18" s="142" t="s">
        <v>75</v>
      </c>
      <c r="C18" s="211" t="s">
        <v>404</v>
      </c>
      <c r="D18" s="205">
        <v>46692.0</v>
      </c>
      <c r="E18" s="204" t="s">
        <v>405</v>
      </c>
      <c r="F18" s="205">
        <v>46692.0</v>
      </c>
      <c r="G18" s="211"/>
      <c r="I18" s="57"/>
    </row>
    <row r="19" ht="15.0" customHeight="1">
      <c r="A19" s="41">
        <v>15.0</v>
      </c>
      <c r="B19" s="142" t="s">
        <v>77</v>
      </c>
      <c r="C19" s="210" t="s">
        <v>408</v>
      </c>
      <c r="D19" s="205">
        <v>46461.0</v>
      </c>
      <c r="E19" s="204" t="s">
        <v>409</v>
      </c>
      <c r="F19" s="205">
        <v>46461.0</v>
      </c>
      <c r="G19" s="211"/>
      <c r="I19" s="57"/>
    </row>
    <row r="20" ht="15.0" customHeight="1">
      <c r="A20" s="46">
        <v>16.0</v>
      </c>
      <c r="B20" s="183" t="s">
        <v>80</v>
      </c>
      <c r="C20" s="210" t="s">
        <v>412</v>
      </c>
      <c r="D20" s="205">
        <v>46708.0</v>
      </c>
      <c r="E20" s="204" t="s">
        <v>413</v>
      </c>
      <c r="F20" s="205">
        <v>46708.0</v>
      </c>
      <c r="G20" s="216"/>
      <c r="I20" s="57"/>
    </row>
    <row r="21" ht="15.0" customHeight="1">
      <c r="A21" s="41">
        <v>17.0</v>
      </c>
      <c r="B21" s="142" t="s">
        <v>89</v>
      </c>
      <c r="C21" s="219" t="s">
        <v>416</v>
      </c>
      <c r="D21" s="203">
        <v>44702.0</v>
      </c>
      <c r="E21" s="220" t="s">
        <v>417</v>
      </c>
      <c r="F21" s="203">
        <v>44702.0</v>
      </c>
      <c r="G21" s="215" t="s">
        <v>381</v>
      </c>
      <c r="I21" s="57"/>
    </row>
    <row r="22" ht="15.0" customHeight="1">
      <c r="A22" s="46">
        <v>18.0</v>
      </c>
      <c r="B22" s="142" t="s">
        <v>91</v>
      </c>
      <c r="C22" s="211" t="s">
        <v>421</v>
      </c>
      <c r="D22" s="205">
        <v>46149.0</v>
      </c>
      <c r="E22" s="204" t="s">
        <v>422</v>
      </c>
      <c r="F22" s="205">
        <v>46149.0</v>
      </c>
      <c r="G22" s="211"/>
      <c r="I22" s="57"/>
    </row>
    <row r="23" ht="15.0" customHeight="1">
      <c r="A23" s="46">
        <v>20.0</v>
      </c>
      <c r="B23" s="142" t="s">
        <v>95</v>
      </c>
      <c r="C23" s="222"/>
      <c r="D23" s="223"/>
      <c r="E23" s="224"/>
      <c r="F23" s="223"/>
      <c r="G23" s="216"/>
      <c r="I23" s="57"/>
    </row>
    <row r="24" ht="15.0" customHeight="1">
      <c r="A24" s="41">
        <v>21.0</v>
      </c>
      <c r="B24" s="142" t="s">
        <v>101</v>
      </c>
      <c r="C24" s="211" t="s">
        <v>434</v>
      </c>
      <c r="D24" s="205">
        <v>45507.0</v>
      </c>
      <c r="E24" s="204" t="s">
        <v>435</v>
      </c>
      <c r="F24" s="205">
        <v>45507.0</v>
      </c>
      <c r="G24" s="216"/>
      <c r="I24" s="57"/>
      <c r="K24" s="175" t="s">
        <v>750</v>
      </c>
    </row>
    <row r="25" ht="15.0" customHeight="1">
      <c r="A25" s="46">
        <v>22.0</v>
      </c>
      <c r="B25" s="142" t="s">
        <v>107</v>
      </c>
      <c r="C25" s="211" t="s">
        <v>751</v>
      </c>
      <c r="D25" s="106">
        <v>45377.0</v>
      </c>
      <c r="E25" s="204" t="s">
        <v>439</v>
      </c>
      <c r="F25" s="205">
        <v>45377.0</v>
      </c>
      <c r="G25" s="216"/>
      <c r="I25" s="57"/>
    </row>
    <row r="26" ht="15.0" customHeight="1">
      <c r="A26" s="41">
        <v>23.0</v>
      </c>
      <c r="B26" s="142" t="s">
        <v>110</v>
      </c>
      <c r="C26" s="210" t="s">
        <v>442</v>
      </c>
      <c r="D26" s="106">
        <v>45255.0</v>
      </c>
      <c r="E26" s="218" t="s">
        <v>752</v>
      </c>
      <c r="F26" s="359">
        <v>45255.0</v>
      </c>
      <c r="G26" s="242"/>
      <c r="I26" s="57"/>
    </row>
    <row r="27" ht="15.0" customHeight="1">
      <c r="A27" s="46">
        <v>24.0</v>
      </c>
      <c r="B27" s="104" t="s">
        <v>115</v>
      </c>
      <c r="C27" s="251" t="s">
        <v>447</v>
      </c>
      <c r="D27" s="136">
        <v>45296.0</v>
      </c>
      <c r="E27" s="252" t="s">
        <v>448</v>
      </c>
      <c r="F27" s="253">
        <v>45296.0</v>
      </c>
      <c r="G27" s="216"/>
      <c r="I27" s="57"/>
    </row>
    <row r="28" ht="15.0" customHeight="1">
      <c r="A28" s="41">
        <v>25.0</v>
      </c>
      <c r="B28" s="17" t="s">
        <v>121</v>
      </c>
      <c r="C28" s="112" t="s">
        <v>753</v>
      </c>
      <c r="D28" s="106">
        <v>46848.0</v>
      </c>
      <c r="E28" s="112" t="s">
        <v>754</v>
      </c>
      <c r="F28" s="258">
        <v>46848.0</v>
      </c>
      <c r="G28" s="216"/>
      <c r="I28" s="57"/>
    </row>
    <row r="29" ht="15.0" customHeight="1">
      <c r="A29" s="46">
        <v>26.0</v>
      </c>
      <c r="B29" s="64" t="s">
        <v>127</v>
      </c>
      <c r="C29" s="112" t="s">
        <v>456</v>
      </c>
      <c r="D29" s="106">
        <v>47111.0</v>
      </c>
      <c r="E29" s="112" t="s">
        <v>457</v>
      </c>
      <c r="F29" s="258">
        <v>47111.0</v>
      </c>
      <c r="G29" s="266"/>
      <c r="I29" s="57"/>
    </row>
    <row r="30" ht="15.0" customHeight="1">
      <c r="A30" s="41">
        <v>27.0</v>
      </c>
      <c r="B30" s="17" t="s">
        <v>132</v>
      </c>
      <c r="C30" s="270"/>
      <c r="D30" s="271"/>
      <c r="E30" s="270"/>
      <c r="F30" s="273"/>
      <c r="G30" s="266"/>
      <c r="I30" s="57"/>
    </row>
    <row r="31" ht="15.0" customHeight="1">
      <c r="A31" s="46">
        <v>28.0</v>
      </c>
      <c r="B31" s="17" t="s">
        <v>138</v>
      </c>
      <c r="C31" s="112" t="s">
        <v>468</v>
      </c>
      <c r="D31" s="106">
        <v>45448.0</v>
      </c>
      <c r="E31" s="112" t="s">
        <v>470</v>
      </c>
      <c r="F31" s="258">
        <v>45448.0</v>
      </c>
      <c r="G31" s="266"/>
      <c r="I31" s="57"/>
    </row>
    <row r="32" ht="15.0" customHeight="1">
      <c r="A32" s="41">
        <v>29.0</v>
      </c>
      <c r="B32" s="17" t="s">
        <v>143</v>
      </c>
      <c r="C32" s="112" t="s">
        <v>476</v>
      </c>
      <c r="D32" s="106">
        <v>45460.0</v>
      </c>
      <c r="E32" s="112" t="s">
        <v>477</v>
      </c>
      <c r="F32" s="258">
        <v>45460.0</v>
      </c>
      <c r="G32" s="216"/>
      <c r="I32" s="57"/>
    </row>
    <row r="33" ht="15.0" customHeight="1">
      <c r="A33" s="46">
        <v>30.0</v>
      </c>
      <c r="B33" s="75" t="s">
        <v>262</v>
      </c>
      <c r="C33" s="266" t="s">
        <v>755</v>
      </c>
      <c r="D33" s="360">
        <v>46849.0</v>
      </c>
      <c r="E33" s="283" t="s">
        <v>487</v>
      </c>
      <c r="F33" s="286">
        <v>45022.0</v>
      </c>
      <c r="G33" s="215" t="s">
        <v>394</v>
      </c>
      <c r="I33" s="57"/>
    </row>
    <row r="34" ht="15.0" customHeight="1">
      <c r="A34" s="41">
        <v>31.0</v>
      </c>
      <c r="B34" s="75" t="s">
        <v>146</v>
      </c>
      <c r="C34" s="270"/>
      <c r="D34" s="271"/>
      <c r="E34" s="270"/>
      <c r="F34" s="273"/>
      <c r="G34" s="266"/>
      <c r="I34" s="57"/>
    </row>
    <row r="35" ht="15.0" customHeight="1">
      <c r="A35" s="46">
        <v>32.0</v>
      </c>
      <c r="B35" s="17" t="s">
        <v>151</v>
      </c>
      <c r="C35" s="270"/>
      <c r="D35" s="271"/>
      <c r="E35" s="270"/>
      <c r="F35" s="273"/>
      <c r="G35" s="266"/>
      <c r="I35" s="57"/>
    </row>
    <row r="36" ht="15.0" customHeight="1">
      <c r="A36" s="41">
        <v>33.0</v>
      </c>
      <c r="B36" s="17" t="s">
        <v>158</v>
      </c>
      <c r="C36" s="270"/>
      <c r="D36" s="271"/>
      <c r="E36" s="270"/>
      <c r="F36" s="273"/>
      <c r="G36" s="266"/>
      <c r="I36" s="57"/>
    </row>
    <row r="37" ht="15.0" customHeight="1">
      <c r="A37" s="46">
        <v>34.0</v>
      </c>
      <c r="B37" s="17" t="s">
        <v>278</v>
      </c>
      <c r="C37" s="270"/>
      <c r="D37" s="271"/>
      <c r="E37" s="270"/>
      <c r="F37" s="273"/>
      <c r="G37" s="216"/>
      <c r="I37" s="57"/>
    </row>
    <row r="38" ht="15.0" customHeight="1">
      <c r="A38" s="41">
        <v>35.0</v>
      </c>
      <c r="B38" s="17" t="s">
        <v>162</v>
      </c>
      <c r="C38" s="294"/>
      <c r="D38" s="295"/>
      <c r="E38" s="294"/>
      <c r="F38" s="297"/>
      <c r="G38" s="298" t="s">
        <v>515</v>
      </c>
      <c r="I38" s="57"/>
    </row>
    <row r="39" ht="15.0" customHeight="1">
      <c r="A39" s="41">
        <v>37.0</v>
      </c>
      <c r="B39" s="17" t="s">
        <v>166</v>
      </c>
      <c r="C39" s="266" t="s">
        <v>528</v>
      </c>
      <c r="D39" s="302">
        <v>45539.0</v>
      </c>
      <c r="E39" s="266" t="s">
        <v>529</v>
      </c>
      <c r="F39" s="302">
        <v>45539.0</v>
      </c>
      <c r="G39" s="298"/>
      <c r="I39" s="57"/>
    </row>
    <row r="40" ht="15.0" customHeight="1">
      <c r="A40" s="46">
        <v>38.0</v>
      </c>
      <c r="B40" s="21" t="s">
        <v>169</v>
      </c>
      <c r="C40" s="270"/>
      <c r="D40" s="271"/>
      <c r="E40" s="270"/>
      <c r="F40" s="273"/>
      <c r="G40" s="266"/>
      <c r="I40" s="57"/>
    </row>
    <row r="41" ht="15.0" customHeight="1">
      <c r="A41" s="41">
        <v>39.0</v>
      </c>
      <c r="B41" s="21" t="s">
        <v>172</v>
      </c>
      <c r="C41" s="112" t="s">
        <v>540</v>
      </c>
      <c r="D41" s="106">
        <v>45244.0</v>
      </c>
      <c r="E41" s="112" t="s">
        <v>542</v>
      </c>
      <c r="F41" s="258">
        <v>45244.0</v>
      </c>
      <c r="G41" s="266"/>
      <c r="I41" s="57"/>
    </row>
    <row r="42" ht="15.0" customHeight="1">
      <c r="A42" s="46">
        <v>40.0</v>
      </c>
      <c r="B42" s="130" t="s">
        <v>547</v>
      </c>
      <c r="C42" s="112" t="s">
        <v>552</v>
      </c>
      <c r="D42" s="106">
        <v>46508.0</v>
      </c>
      <c r="E42" s="266" t="s">
        <v>757</v>
      </c>
      <c r="F42" s="302">
        <v>46508.0</v>
      </c>
      <c r="G42" s="266"/>
      <c r="I42" s="57"/>
    </row>
    <row r="43" ht="15.0" customHeight="1">
      <c r="A43" s="41">
        <v>41.0</v>
      </c>
      <c r="B43" s="21" t="s">
        <v>181</v>
      </c>
      <c r="C43" s="266"/>
      <c r="D43" s="84"/>
      <c r="E43" s="270"/>
      <c r="F43" s="273"/>
      <c r="G43" s="298" t="s">
        <v>758</v>
      </c>
      <c r="I43" s="57"/>
    </row>
    <row r="44" ht="15.75" customHeight="1"/>
    <row r="45" ht="15.75" customHeight="1"/>
    <row r="46" ht="15.75" customHeight="1">
      <c r="A46" s="361" t="s">
        <v>759</v>
      </c>
      <c r="B46" s="362" t="s">
        <v>760</v>
      </c>
      <c r="C46" s="361"/>
    </row>
    <row r="47" ht="15.75" customHeight="1">
      <c r="A47" s="363">
        <v>1.0</v>
      </c>
      <c r="B47" s="364" t="s">
        <v>110</v>
      </c>
      <c r="C47" s="365">
        <v>45255.0</v>
      </c>
    </row>
    <row r="48" ht="15.75" customHeight="1">
      <c r="A48" s="363">
        <v>2.0</v>
      </c>
      <c r="B48" s="366" t="s">
        <v>172</v>
      </c>
      <c r="C48" s="365">
        <v>45244.0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4:A5"/>
    <mergeCell ref="B4:B5"/>
    <mergeCell ref="C4:D4"/>
    <mergeCell ref="E4:F4"/>
    <mergeCell ref="G4:G5"/>
  </mergeCells>
  <printOptions/>
  <pageMargins bottom="0.75" footer="0.0" header="0.0" left="0.7" right="0.7" top="0.75"/>
  <pageSetup paperSize="9" orientation="portrait"/>
  <colBreaks count="1" manualBreakCount="1">
    <brk id="7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3.71"/>
    <col customWidth="1" min="3" max="10" width="9.29"/>
    <col customWidth="1" min="11" max="11" width="10.57"/>
    <col customWidth="1" min="12" max="18" width="9.29"/>
    <col customWidth="1" min="19" max="19" width="8.86"/>
    <col customWidth="1" min="20" max="26" width="9.29"/>
    <col customWidth="1" min="27" max="32" width="8.71"/>
  </cols>
  <sheetData>
    <row r="1">
      <c r="A1" s="8" t="s">
        <v>761</v>
      </c>
    </row>
    <row r="2">
      <c r="A2" s="3" t="s">
        <v>7</v>
      </c>
    </row>
    <row r="3">
      <c r="A3" s="7" t="s">
        <v>762</v>
      </c>
      <c r="AA3" s="5"/>
      <c r="AB3" s="5"/>
      <c r="AC3" s="5"/>
      <c r="AD3" s="5"/>
      <c r="AE3" s="5"/>
      <c r="AF3" s="5"/>
    </row>
    <row r="5">
      <c r="A5" s="368" t="s">
        <v>15</v>
      </c>
      <c r="B5" s="368" t="s">
        <v>19</v>
      </c>
      <c r="C5" s="369" t="s">
        <v>763</v>
      </c>
      <c r="D5" s="34"/>
      <c r="E5" s="370" t="s">
        <v>764</v>
      </c>
      <c r="F5" s="34"/>
      <c r="G5" s="370" t="s">
        <v>765</v>
      </c>
      <c r="H5" s="34"/>
      <c r="I5" s="370" t="s">
        <v>766</v>
      </c>
      <c r="J5" s="34"/>
      <c r="K5" s="370" t="s">
        <v>767</v>
      </c>
      <c r="L5" s="34"/>
      <c r="M5" s="370" t="s">
        <v>769</v>
      </c>
      <c r="N5" s="34"/>
      <c r="O5" s="370" t="s">
        <v>771</v>
      </c>
      <c r="P5" s="34"/>
      <c r="Q5" s="370" t="s">
        <v>772</v>
      </c>
      <c r="R5" s="34"/>
      <c r="S5" s="370" t="s">
        <v>773</v>
      </c>
      <c r="T5" s="34"/>
      <c r="U5" s="370" t="s">
        <v>775</v>
      </c>
      <c r="V5" s="34"/>
      <c r="W5" s="370" t="s">
        <v>776</v>
      </c>
      <c r="X5" s="34"/>
      <c r="Y5" s="370" t="s">
        <v>777</v>
      </c>
      <c r="Z5" s="34"/>
      <c r="AA5" s="371"/>
      <c r="AB5" s="5"/>
      <c r="AC5" s="5"/>
      <c r="AD5" s="5"/>
      <c r="AE5" s="5"/>
      <c r="AF5" s="5"/>
    </row>
    <row r="6">
      <c r="A6" s="372"/>
      <c r="B6" s="372"/>
      <c r="C6" s="368" t="s">
        <v>778</v>
      </c>
      <c r="D6" s="373" t="s">
        <v>779</v>
      </c>
      <c r="E6" s="368" t="s">
        <v>778</v>
      </c>
      <c r="F6" s="373" t="s">
        <v>779</v>
      </c>
      <c r="G6" s="368" t="s">
        <v>778</v>
      </c>
      <c r="H6" s="373" t="s">
        <v>779</v>
      </c>
      <c r="I6" s="368" t="s">
        <v>778</v>
      </c>
      <c r="J6" s="373" t="s">
        <v>779</v>
      </c>
      <c r="K6" s="368" t="s">
        <v>778</v>
      </c>
      <c r="L6" s="373" t="s">
        <v>779</v>
      </c>
      <c r="M6" s="368" t="s">
        <v>778</v>
      </c>
      <c r="N6" s="373" t="s">
        <v>779</v>
      </c>
      <c r="O6" s="368" t="s">
        <v>778</v>
      </c>
      <c r="P6" s="373" t="s">
        <v>779</v>
      </c>
      <c r="Q6" s="368" t="s">
        <v>778</v>
      </c>
      <c r="R6" s="373" t="s">
        <v>779</v>
      </c>
      <c r="S6" s="368" t="s">
        <v>778</v>
      </c>
      <c r="T6" s="373" t="s">
        <v>779</v>
      </c>
      <c r="U6" s="368" t="s">
        <v>778</v>
      </c>
      <c r="V6" s="373" t="s">
        <v>779</v>
      </c>
      <c r="W6" s="368" t="s">
        <v>778</v>
      </c>
      <c r="X6" s="374" t="s">
        <v>779</v>
      </c>
      <c r="Y6" s="368" t="s">
        <v>778</v>
      </c>
      <c r="Z6" s="374" t="s">
        <v>779</v>
      </c>
      <c r="AA6" s="371"/>
      <c r="AB6" s="5"/>
      <c r="AC6" s="5"/>
      <c r="AD6" s="5"/>
      <c r="AE6" s="5"/>
      <c r="AF6" s="5"/>
    </row>
    <row r="7">
      <c r="A7" s="36"/>
      <c r="B7" s="36"/>
      <c r="C7" s="375" t="s">
        <v>780</v>
      </c>
      <c r="D7" s="376" t="s">
        <v>781</v>
      </c>
      <c r="E7" s="375" t="s">
        <v>780</v>
      </c>
      <c r="F7" s="376" t="s">
        <v>781</v>
      </c>
      <c r="G7" s="375" t="s">
        <v>780</v>
      </c>
      <c r="H7" s="376" t="s">
        <v>781</v>
      </c>
      <c r="I7" s="375" t="s">
        <v>780</v>
      </c>
      <c r="J7" s="376" t="s">
        <v>781</v>
      </c>
      <c r="K7" s="375" t="s">
        <v>780</v>
      </c>
      <c r="L7" s="376" t="s">
        <v>781</v>
      </c>
      <c r="M7" s="375" t="s">
        <v>780</v>
      </c>
      <c r="N7" s="376" t="s">
        <v>781</v>
      </c>
      <c r="O7" s="375" t="s">
        <v>780</v>
      </c>
      <c r="P7" s="376" t="s">
        <v>781</v>
      </c>
      <c r="Q7" s="375" t="s">
        <v>780</v>
      </c>
      <c r="R7" s="376" t="s">
        <v>781</v>
      </c>
      <c r="S7" s="375" t="s">
        <v>780</v>
      </c>
      <c r="T7" s="376" t="s">
        <v>781</v>
      </c>
      <c r="U7" s="375" t="s">
        <v>780</v>
      </c>
      <c r="V7" s="376" t="s">
        <v>781</v>
      </c>
      <c r="W7" s="375" t="s">
        <v>780</v>
      </c>
      <c r="X7" s="377" t="s">
        <v>781</v>
      </c>
      <c r="Y7" s="375" t="s">
        <v>780</v>
      </c>
      <c r="Z7" s="377" t="s">
        <v>781</v>
      </c>
      <c r="AA7" s="371"/>
      <c r="AB7" s="5"/>
      <c r="AC7" s="5"/>
      <c r="AD7" s="5"/>
      <c r="AE7" s="5"/>
      <c r="AF7" s="5"/>
    </row>
    <row r="8" ht="15.0" customHeight="1">
      <c r="A8" s="41">
        <v>1.0</v>
      </c>
      <c r="B8" s="104" t="s">
        <v>10</v>
      </c>
      <c r="C8" s="378"/>
      <c r="D8" s="379"/>
      <c r="E8" s="378"/>
      <c r="F8" s="379"/>
      <c r="G8" s="378"/>
      <c r="H8" s="379"/>
      <c r="I8" s="378"/>
      <c r="J8" s="379"/>
      <c r="K8" s="378"/>
      <c r="L8" s="379"/>
      <c r="M8" s="378"/>
      <c r="N8" s="379"/>
      <c r="O8" s="378"/>
      <c r="P8" s="379"/>
      <c r="Q8" s="378"/>
      <c r="R8" s="379"/>
      <c r="S8" s="378"/>
      <c r="T8" s="380"/>
      <c r="U8" s="378"/>
      <c r="V8" s="381"/>
      <c r="W8" s="378"/>
      <c r="X8" s="382"/>
      <c r="Y8" s="378"/>
      <c r="Z8" s="383"/>
      <c r="AA8" s="5"/>
      <c r="AB8" s="5"/>
      <c r="AC8" s="5"/>
      <c r="AD8" s="5"/>
      <c r="AE8" s="5"/>
      <c r="AF8" s="5"/>
    </row>
    <row r="9" ht="15.0" customHeight="1">
      <c r="A9" s="46">
        <v>2.0</v>
      </c>
      <c r="B9" s="142" t="s">
        <v>16</v>
      </c>
      <c r="C9" s="378">
        <v>8620.0</v>
      </c>
      <c r="D9" s="385" t="s">
        <v>782</v>
      </c>
      <c r="E9" s="378">
        <v>7665.0</v>
      </c>
      <c r="F9" s="385" t="s">
        <v>783</v>
      </c>
      <c r="G9" s="378">
        <v>8850.0</v>
      </c>
      <c r="H9" s="385" t="s">
        <v>784</v>
      </c>
      <c r="I9" s="378">
        <v>5120.0</v>
      </c>
      <c r="J9" s="385" t="s">
        <v>785</v>
      </c>
      <c r="K9" s="378">
        <v>6790.0</v>
      </c>
      <c r="L9" s="385" t="s">
        <v>786</v>
      </c>
      <c r="M9" s="378">
        <v>7070.0</v>
      </c>
      <c r="N9" s="385">
        <v>104.74</v>
      </c>
      <c r="O9" s="378">
        <v>6450.0</v>
      </c>
      <c r="P9" s="385" t="s">
        <v>787</v>
      </c>
      <c r="Q9" s="378">
        <v>7450.0</v>
      </c>
      <c r="R9" s="385" t="s">
        <v>788</v>
      </c>
      <c r="S9" s="378"/>
      <c r="T9" s="386"/>
      <c r="U9" s="378"/>
      <c r="V9" s="387"/>
      <c r="W9" s="378"/>
      <c r="X9" s="383"/>
      <c r="Y9" s="378"/>
      <c r="Z9" s="383"/>
    </row>
    <row r="10" ht="15.0" customHeight="1">
      <c r="A10" s="41">
        <v>3.0</v>
      </c>
      <c r="B10" s="142" t="s">
        <v>88</v>
      </c>
      <c r="C10" s="378">
        <v>8130.0</v>
      </c>
      <c r="D10" s="385" t="s">
        <v>789</v>
      </c>
      <c r="E10" s="378">
        <v>5430.0</v>
      </c>
      <c r="F10" s="385" t="s">
        <v>790</v>
      </c>
      <c r="G10" s="378">
        <v>8070.0</v>
      </c>
      <c r="H10" s="385" t="s">
        <v>791</v>
      </c>
      <c r="I10" s="378">
        <v>5580.0</v>
      </c>
      <c r="J10" s="385" t="s">
        <v>792</v>
      </c>
      <c r="K10" s="378">
        <v>6660.0</v>
      </c>
      <c r="L10" s="385" t="s">
        <v>793</v>
      </c>
      <c r="M10" s="378">
        <v>4800.0</v>
      </c>
      <c r="N10" s="385" t="s">
        <v>794</v>
      </c>
      <c r="O10" s="378">
        <v>7470.0</v>
      </c>
      <c r="P10" s="385" t="s">
        <v>796</v>
      </c>
      <c r="Q10" s="378">
        <v>8280.0</v>
      </c>
      <c r="R10" s="385" t="s">
        <v>797</v>
      </c>
      <c r="S10" s="378">
        <v>8220.0</v>
      </c>
      <c r="T10" s="386" t="s">
        <v>798</v>
      </c>
      <c r="U10" s="378">
        <v>7590.0</v>
      </c>
      <c r="V10" s="387">
        <v>1.1244</v>
      </c>
      <c r="W10" s="378"/>
      <c r="X10" s="383"/>
      <c r="Y10" s="378"/>
      <c r="Z10" s="383"/>
    </row>
    <row r="11" ht="15.0" customHeight="1">
      <c r="A11" s="46">
        <v>4.0</v>
      </c>
      <c r="B11" s="142" t="s">
        <v>22</v>
      </c>
      <c r="C11" s="378">
        <v>5195.0</v>
      </c>
      <c r="D11" s="385" t="s">
        <v>800</v>
      </c>
      <c r="E11" s="378">
        <v>6670.0</v>
      </c>
      <c r="F11" s="385" t="s">
        <v>801</v>
      </c>
      <c r="G11" s="378">
        <v>7020.0</v>
      </c>
      <c r="H11" s="385">
        <v>1.04</v>
      </c>
      <c r="I11" s="378">
        <v>4230.0</v>
      </c>
      <c r="J11" s="385" t="s">
        <v>802</v>
      </c>
      <c r="K11" s="378">
        <v>7490.0</v>
      </c>
      <c r="L11" s="385" t="s">
        <v>803</v>
      </c>
      <c r="M11" s="378">
        <v>4530.0</v>
      </c>
      <c r="N11" s="385" t="s">
        <v>804</v>
      </c>
      <c r="O11" s="378">
        <v>6240.0</v>
      </c>
      <c r="P11" s="385" t="s">
        <v>805</v>
      </c>
      <c r="Q11" s="378">
        <v>9050.0</v>
      </c>
      <c r="R11" s="385" t="s">
        <v>806</v>
      </c>
      <c r="S11" s="378"/>
      <c r="T11" s="386"/>
      <c r="U11" s="378"/>
      <c r="V11" s="387"/>
      <c r="W11" s="378"/>
      <c r="X11" s="383"/>
      <c r="Y11" s="378"/>
      <c r="Z11" s="383"/>
    </row>
    <row r="12" ht="15.0" customHeight="1">
      <c r="A12" s="41">
        <v>5.0</v>
      </c>
      <c r="B12" s="142" t="s">
        <v>32</v>
      </c>
      <c r="C12" s="378">
        <v>9410.0</v>
      </c>
      <c r="D12" s="385" t="s">
        <v>808</v>
      </c>
      <c r="E12" s="378">
        <v>2790.0</v>
      </c>
      <c r="F12" s="385" t="s">
        <v>809</v>
      </c>
      <c r="G12" s="378">
        <v>8640.0</v>
      </c>
      <c r="H12" s="385">
        <v>1.28</v>
      </c>
      <c r="I12" s="378">
        <v>5600.0</v>
      </c>
      <c r="J12" s="385" t="s">
        <v>810</v>
      </c>
      <c r="K12" s="378">
        <v>8943.0</v>
      </c>
      <c r="L12" s="385" t="s">
        <v>811</v>
      </c>
      <c r="M12" s="378">
        <v>6975.0</v>
      </c>
      <c r="N12" s="385" t="s">
        <v>812</v>
      </c>
      <c r="O12" s="378">
        <v>8985.0</v>
      </c>
      <c r="P12" s="385" t="s">
        <v>813</v>
      </c>
      <c r="Q12" s="378">
        <v>9270.0</v>
      </c>
      <c r="R12" s="385" t="s">
        <v>814</v>
      </c>
      <c r="S12" s="378">
        <v>9140.0</v>
      </c>
      <c r="T12" s="387">
        <v>1.3541</v>
      </c>
      <c r="U12" s="378">
        <v>8925.0</v>
      </c>
      <c r="V12" s="387">
        <v>1.3222</v>
      </c>
      <c r="W12" s="378">
        <v>9120.0</v>
      </c>
      <c r="X12" s="388">
        <v>1.3511</v>
      </c>
      <c r="Y12" s="378">
        <v>7740.0</v>
      </c>
      <c r="Z12" s="388">
        <v>1.1467</v>
      </c>
    </row>
    <row r="13" ht="15.0" customHeight="1">
      <c r="A13" s="46">
        <v>6.0</v>
      </c>
      <c r="B13" s="142" t="s">
        <v>35</v>
      </c>
      <c r="C13" s="378"/>
      <c r="D13" s="385"/>
      <c r="E13" s="378"/>
      <c r="F13" s="385"/>
      <c r="G13" s="378"/>
      <c r="H13" s="385"/>
      <c r="I13" s="378"/>
      <c r="J13" s="385"/>
      <c r="K13" s="378"/>
      <c r="L13" s="385"/>
      <c r="M13" s="378"/>
      <c r="N13" s="385"/>
      <c r="O13" s="378"/>
      <c r="P13" s="385"/>
      <c r="Q13" s="378"/>
      <c r="R13" s="385"/>
      <c r="S13" s="378"/>
      <c r="T13" s="386"/>
      <c r="U13" s="378"/>
      <c r="V13" s="387"/>
      <c r="W13" s="378"/>
      <c r="X13" s="383"/>
      <c r="Y13" s="378"/>
      <c r="Z13" s="383"/>
    </row>
    <row r="14" ht="15.0" customHeight="1">
      <c r="A14" s="41">
        <v>7.0</v>
      </c>
      <c r="B14" s="142" t="s">
        <v>39</v>
      </c>
      <c r="C14" s="378"/>
      <c r="D14" s="385" t="s">
        <v>815</v>
      </c>
      <c r="E14" s="378"/>
      <c r="F14" s="385" t="s">
        <v>816</v>
      </c>
      <c r="G14" s="378"/>
      <c r="H14" s="385" t="s">
        <v>817</v>
      </c>
      <c r="I14" s="378"/>
      <c r="J14" s="385" t="s">
        <v>818</v>
      </c>
      <c r="K14" s="378"/>
      <c r="L14" s="385" t="s">
        <v>819</v>
      </c>
      <c r="M14" s="378"/>
      <c r="N14" s="385" t="s">
        <v>820</v>
      </c>
      <c r="O14" s="378"/>
      <c r="P14" s="385" t="s">
        <v>821</v>
      </c>
      <c r="Q14" s="378"/>
      <c r="R14" s="385" t="s">
        <v>822</v>
      </c>
      <c r="S14" s="378">
        <v>7665.0</v>
      </c>
      <c r="T14" s="386" t="s">
        <v>783</v>
      </c>
      <c r="U14" s="378"/>
      <c r="V14" s="387"/>
      <c r="W14" s="378"/>
      <c r="X14" s="383"/>
      <c r="Y14" s="378"/>
      <c r="Z14" s="383"/>
    </row>
    <row r="15" ht="15.0" customHeight="1">
      <c r="A15" s="46">
        <v>8.0</v>
      </c>
      <c r="B15" s="142" t="s">
        <v>49</v>
      </c>
      <c r="C15" s="378">
        <v>4255.0</v>
      </c>
      <c r="D15" s="385" t="s">
        <v>823</v>
      </c>
      <c r="E15" s="378">
        <v>3861.0</v>
      </c>
      <c r="F15" s="385" t="s">
        <v>824</v>
      </c>
      <c r="G15" s="378">
        <v>2975.0</v>
      </c>
      <c r="H15" s="385" t="s">
        <v>825</v>
      </c>
      <c r="I15" s="378">
        <v>1260.0</v>
      </c>
      <c r="J15" s="385" t="s">
        <v>826</v>
      </c>
      <c r="K15" s="378">
        <v>4855.0</v>
      </c>
      <c r="L15" s="385" t="s">
        <v>827</v>
      </c>
      <c r="M15" s="378">
        <v>1570.0</v>
      </c>
      <c r="N15" s="385" t="s">
        <v>828</v>
      </c>
      <c r="O15" s="378">
        <v>6445.0</v>
      </c>
      <c r="P15" s="385">
        <v>95.48</v>
      </c>
      <c r="Q15" s="378">
        <v>8275.0</v>
      </c>
      <c r="R15" s="385" t="s">
        <v>829</v>
      </c>
      <c r="S15" s="378"/>
      <c r="T15" s="386"/>
      <c r="U15" s="378"/>
      <c r="V15" s="387"/>
      <c r="W15" s="378"/>
      <c r="X15" s="383"/>
      <c r="Y15" s="378"/>
      <c r="Z15" s="383"/>
    </row>
    <row r="16" ht="15.0" customHeight="1">
      <c r="A16" s="41">
        <v>9.0</v>
      </c>
      <c r="B16" s="142" t="s">
        <v>382</v>
      </c>
      <c r="C16" s="378"/>
      <c r="D16" s="385"/>
      <c r="E16" s="378"/>
      <c r="F16" s="385"/>
      <c r="G16" s="378"/>
      <c r="H16" s="385"/>
      <c r="I16" s="378"/>
      <c r="J16" s="385"/>
      <c r="K16" s="378"/>
      <c r="L16" s="385"/>
      <c r="M16" s="378"/>
      <c r="N16" s="385"/>
      <c r="O16" s="378"/>
      <c r="P16" s="385"/>
      <c r="Q16" s="378"/>
      <c r="R16" s="385"/>
      <c r="S16" s="378"/>
      <c r="T16" s="386"/>
      <c r="U16" s="378"/>
      <c r="V16" s="387"/>
      <c r="W16" s="378"/>
      <c r="X16" s="383"/>
      <c r="Y16" s="378"/>
      <c r="Z16" s="383"/>
    </row>
    <row r="17" ht="15.0" customHeight="1">
      <c r="A17" s="46">
        <v>10.0</v>
      </c>
      <c r="B17" s="142" t="s">
        <v>61</v>
      </c>
      <c r="C17" s="378">
        <v>7635.0</v>
      </c>
      <c r="D17" s="385" t="s">
        <v>830</v>
      </c>
      <c r="E17" s="378">
        <v>7440.0</v>
      </c>
      <c r="F17" s="385" t="s">
        <v>831</v>
      </c>
      <c r="G17" s="378">
        <v>6900.0</v>
      </c>
      <c r="H17" s="385" t="s">
        <v>832</v>
      </c>
      <c r="I17" s="378">
        <v>5970.0</v>
      </c>
      <c r="J17" s="385" t="s">
        <v>833</v>
      </c>
      <c r="K17" s="378">
        <v>8160.0</v>
      </c>
      <c r="L17" s="385" t="s">
        <v>834</v>
      </c>
      <c r="M17" s="378">
        <v>5460.0</v>
      </c>
      <c r="N17" s="385" t="s">
        <v>835</v>
      </c>
      <c r="O17" s="378">
        <v>8040.0</v>
      </c>
      <c r="P17" s="385" t="s">
        <v>836</v>
      </c>
      <c r="Q17" s="378">
        <v>8480.0</v>
      </c>
      <c r="R17" s="385" t="s">
        <v>837</v>
      </c>
      <c r="S17" s="378">
        <v>8960.0</v>
      </c>
      <c r="T17" s="386" t="s">
        <v>838</v>
      </c>
      <c r="U17" s="378"/>
      <c r="V17" s="387"/>
      <c r="W17" s="378"/>
      <c r="X17" s="383"/>
      <c r="Y17" s="378"/>
      <c r="Z17" s="383"/>
    </row>
    <row r="18" ht="15.0" customHeight="1">
      <c r="A18" s="41">
        <v>11.0</v>
      </c>
      <c r="B18" s="142" t="s">
        <v>66</v>
      </c>
      <c r="C18" s="378"/>
      <c r="D18" s="385"/>
      <c r="E18" s="378"/>
      <c r="F18" s="385"/>
      <c r="G18" s="378"/>
      <c r="H18" s="385"/>
      <c r="I18" s="378"/>
      <c r="J18" s="385"/>
      <c r="K18" s="378"/>
      <c r="L18" s="385"/>
      <c r="M18" s="378"/>
      <c r="N18" s="385"/>
      <c r="O18" s="378"/>
      <c r="P18" s="385"/>
      <c r="Q18" s="378"/>
      <c r="R18" s="385"/>
      <c r="S18" s="378"/>
      <c r="T18" s="386"/>
      <c r="U18" s="378"/>
      <c r="V18" s="387"/>
      <c r="W18" s="378"/>
      <c r="X18" s="383"/>
      <c r="Y18" s="378"/>
      <c r="Z18" s="383"/>
    </row>
    <row r="19" ht="15.0" customHeight="1">
      <c r="A19" s="46">
        <v>12.0</v>
      </c>
      <c r="B19" s="142" t="s">
        <v>69</v>
      </c>
      <c r="C19" s="378">
        <v>9151.0</v>
      </c>
      <c r="D19" s="389">
        <v>1.3563</v>
      </c>
      <c r="E19" s="378">
        <v>8550.0</v>
      </c>
      <c r="F19" s="389">
        <v>1.2667</v>
      </c>
      <c r="G19" s="378">
        <v>7655.0</v>
      </c>
      <c r="H19" s="389">
        <v>1.1341</v>
      </c>
      <c r="I19" s="378">
        <v>5489.0</v>
      </c>
      <c r="J19" s="389">
        <v>0.8132</v>
      </c>
      <c r="K19" s="378">
        <v>8520.0</v>
      </c>
      <c r="L19" s="389">
        <v>1.2622</v>
      </c>
      <c r="M19" s="378">
        <v>6925.0</v>
      </c>
      <c r="N19" s="389">
        <v>1.0259</v>
      </c>
      <c r="O19" s="378">
        <v>9055.0</v>
      </c>
      <c r="P19" s="389">
        <v>1.3415</v>
      </c>
      <c r="Q19" s="378">
        <v>9225.0</v>
      </c>
      <c r="R19" s="385" t="s">
        <v>839</v>
      </c>
      <c r="S19" s="378">
        <v>9225.0</v>
      </c>
      <c r="T19" s="386" t="s">
        <v>839</v>
      </c>
      <c r="U19" s="378">
        <v>8520.0</v>
      </c>
      <c r="V19" s="387">
        <v>1.2622</v>
      </c>
      <c r="W19" s="378">
        <v>9109.0</v>
      </c>
      <c r="X19" s="388">
        <v>1.3495</v>
      </c>
      <c r="Y19" s="378">
        <v>7090.0</v>
      </c>
      <c r="Z19" s="388">
        <v>1.0504</v>
      </c>
    </row>
    <row r="20" ht="15.0" customHeight="1">
      <c r="A20" s="41">
        <v>13.0</v>
      </c>
      <c r="B20" s="142" t="s">
        <v>72</v>
      </c>
      <c r="C20" s="378">
        <v>7285.0</v>
      </c>
      <c r="D20" s="385" t="s">
        <v>840</v>
      </c>
      <c r="E20" s="378">
        <v>7080.0</v>
      </c>
      <c r="F20" s="385" t="s">
        <v>841</v>
      </c>
      <c r="G20" s="378">
        <v>7080.0</v>
      </c>
      <c r="H20" s="385" t="s">
        <v>841</v>
      </c>
      <c r="I20" s="378">
        <v>5485.0</v>
      </c>
      <c r="J20" s="385" t="s">
        <v>842</v>
      </c>
      <c r="K20" s="378">
        <v>8115.0</v>
      </c>
      <c r="L20" s="385" t="s">
        <v>843</v>
      </c>
      <c r="M20" s="378">
        <v>6632.0</v>
      </c>
      <c r="N20" s="385" t="s">
        <v>844</v>
      </c>
      <c r="O20" s="378">
        <v>6775.0</v>
      </c>
      <c r="P20" s="385" t="s">
        <v>845</v>
      </c>
      <c r="Q20" s="378">
        <v>8750.0</v>
      </c>
      <c r="R20" s="385" t="s">
        <v>846</v>
      </c>
      <c r="S20" s="378">
        <v>7345.0</v>
      </c>
      <c r="T20" s="386" t="s">
        <v>847</v>
      </c>
      <c r="U20" s="378">
        <v>8195.0</v>
      </c>
      <c r="V20" s="387">
        <v>1.2141</v>
      </c>
      <c r="W20" s="378">
        <v>7585.0</v>
      </c>
      <c r="X20" s="388">
        <v>1.1237</v>
      </c>
      <c r="Y20" s="378">
        <v>6385.0</v>
      </c>
      <c r="Z20" s="388">
        <v>0.9459</v>
      </c>
    </row>
    <row r="21" ht="15.0" customHeight="1">
      <c r="A21" s="46">
        <v>14.0</v>
      </c>
      <c r="B21" s="142" t="s">
        <v>75</v>
      </c>
      <c r="C21" s="378">
        <v>8295.0</v>
      </c>
      <c r="D21" s="385" t="s">
        <v>848</v>
      </c>
      <c r="E21" s="378">
        <v>7660.0</v>
      </c>
      <c r="F21" s="385" t="s">
        <v>849</v>
      </c>
      <c r="G21" s="378">
        <v>7350.0</v>
      </c>
      <c r="H21" s="385" t="s">
        <v>850</v>
      </c>
      <c r="I21" s="378">
        <v>6555.0</v>
      </c>
      <c r="J21" s="385" t="s">
        <v>851</v>
      </c>
      <c r="K21" s="378">
        <v>8220.0</v>
      </c>
      <c r="L21" s="385" t="s">
        <v>798</v>
      </c>
      <c r="M21" s="378">
        <v>7515.0</v>
      </c>
      <c r="N21" s="385" t="s">
        <v>852</v>
      </c>
      <c r="O21" s="378">
        <v>8505.0</v>
      </c>
      <c r="P21" s="385">
        <v>1.26</v>
      </c>
      <c r="Q21" s="378">
        <v>8955.0</v>
      </c>
      <c r="R21" s="385" t="s">
        <v>853</v>
      </c>
      <c r="S21" s="378">
        <v>8430.0</v>
      </c>
      <c r="T21" s="386" t="s">
        <v>854</v>
      </c>
      <c r="U21" s="378">
        <v>9570.0</v>
      </c>
      <c r="V21" s="387">
        <v>1.4178</v>
      </c>
      <c r="W21" s="378">
        <v>9420.0</v>
      </c>
      <c r="X21" s="388">
        <v>1.3956</v>
      </c>
      <c r="Y21" s="378">
        <v>7905.0</v>
      </c>
      <c r="Z21" s="388">
        <v>1.1711</v>
      </c>
    </row>
    <row r="22" ht="15.0" customHeight="1">
      <c r="A22" s="41">
        <v>15.0</v>
      </c>
      <c r="B22" s="142" t="s">
        <v>77</v>
      </c>
      <c r="C22" s="378">
        <v>8700.0</v>
      </c>
      <c r="D22" s="385" t="s">
        <v>856</v>
      </c>
      <c r="E22" s="378">
        <v>8580.0</v>
      </c>
      <c r="F22" s="385" t="s">
        <v>857</v>
      </c>
      <c r="G22" s="378">
        <v>8396.0</v>
      </c>
      <c r="H22" s="385" t="s">
        <v>858</v>
      </c>
      <c r="I22" s="378">
        <v>6745.0</v>
      </c>
      <c r="J22" s="385" t="s">
        <v>859</v>
      </c>
      <c r="K22" s="378">
        <v>8985.0</v>
      </c>
      <c r="L22" s="385" t="s">
        <v>813</v>
      </c>
      <c r="M22" s="378">
        <v>7855.0</v>
      </c>
      <c r="N22" s="385" t="s">
        <v>861</v>
      </c>
      <c r="O22" s="378">
        <v>8480.0</v>
      </c>
      <c r="P22" s="385" t="s">
        <v>837</v>
      </c>
      <c r="Q22" s="378">
        <v>9825.0</v>
      </c>
      <c r="R22" s="385" t="s">
        <v>862</v>
      </c>
      <c r="S22" s="378">
        <v>9075.0</v>
      </c>
      <c r="T22" s="386" t="s">
        <v>863</v>
      </c>
      <c r="U22" s="378">
        <v>9345.0</v>
      </c>
      <c r="V22" s="387">
        <v>1.3844</v>
      </c>
      <c r="W22" s="378">
        <v>8510.0</v>
      </c>
      <c r="X22" s="383" t="s">
        <v>864</v>
      </c>
      <c r="Y22" s="378">
        <v>8170.0</v>
      </c>
      <c r="Z22" s="388">
        <v>1.2104</v>
      </c>
    </row>
    <row r="23" ht="15.0" customHeight="1">
      <c r="A23" s="46">
        <v>16.0</v>
      </c>
      <c r="B23" s="183" t="s">
        <v>80</v>
      </c>
      <c r="C23" s="378">
        <v>8990.0</v>
      </c>
      <c r="D23" s="385" t="s">
        <v>866</v>
      </c>
      <c r="E23" s="378">
        <v>7650.0</v>
      </c>
      <c r="F23" s="385" t="s">
        <v>868</v>
      </c>
      <c r="G23" s="378">
        <v>8190.0</v>
      </c>
      <c r="H23" s="385" t="s">
        <v>869</v>
      </c>
      <c r="I23" s="378">
        <v>8190.0</v>
      </c>
      <c r="J23" s="385" t="s">
        <v>869</v>
      </c>
      <c r="K23" s="378">
        <v>8190.0</v>
      </c>
      <c r="L23" s="385" t="s">
        <v>869</v>
      </c>
      <c r="M23" s="378">
        <v>8190.0</v>
      </c>
      <c r="N23" s="385" t="s">
        <v>869</v>
      </c>
      <c r="O23" s="378">
        <v>8280.0</v>
      </c>
      <c r="P23" s="389">
        <v>1.2267</v>
      </c>
      <c r="Q23" s="378">
        <v>9510.0</v>
      </c>
      <c r="R23" s="389">
        <v>1.4089</v>
      </c>
      <c r="S23" s="378">
        <v>8950.0</v>
      </c>
      <c r="T23" s="386" t="s">
        <v>870</v>
      </c>
      <c r="U23" s="378">
        <v>8760.0</v>
      </c>
      <c r="V23" s="387">
        <v>1.2978</v>
      </c>
      <c r="W23" s="378">
        <v>8460.0</v>
      </c>
      <c r="X23" s="383">
        <v>1.2533</v>
      </c>
      <c r="Y23" s="378">
        <v>5460.0</v>
      </c>
      <c r="Z23" s="383">
        <v>0.8089</v>
      </c>
    </row>
    <row r="24" ht="15.0" customHeight="1">
      <c r="A24" s="41">
        <v>17.0</v>
      </c>
      <c r="B24" s="142" t="s">
        <v>89</v>
      </c>
      <c r="C24" s="378">
        <v>6645.0</v>
      </c>
      <c r="D24" s="385" t="s">
        <v>871</v>
      </c>
      <c r="E24" s="378">
        <v>6647.0</v>
      </c>
      <c r="F24" s="385" t="s">
        <v>872</v>
      </c>
      <c r="G24" s="378">
        <v>7174.0</v>
      </c>
      <c r="H24" s="385"/>
      <c r="I24" s="378">
        <v>5415.0</v>
      </c>
      <c r="J24" s="385" t="s">
        <v>873</v>
      </c>
      <c r="K24" s="378">
        <v>8074.0</v>
      </c>
      <c r="L24" s="385" t="s">
        <v>874</v>
      </c>
      <c r="M24" s="378">
        <v>6600.0</v>
      </c>
      <c r="N24" s="385" t="s">
        <v>875</v>
      </c>
      <c r="O24" s="378">
        <v>5680.0</v>
      </c>
      <c r="P24" s="385" t="s">
        <v>876</v>
      </c>
      <c r="Q24" s="378">
        <v>8010.0</v>
      </c>
      <c r="R24" s="385" t="s">
        <v>877</v>
      </c>
      <c r="S24" s="378"/>
      <c r="T24" s="386"/>
      <c r="U24" s="378"/>
      <c r="V24" s="387"/>
      <c r="W24" s="378"/>
      <c r="X24" s="383"/>
      <c r="Y24" s="378"/>
      <c r="Z24" s="383"/>
    </row>
    <row r="25" ht="15.0" customHeight="1">
      <c r="A25" s="46">
        <v>18.0</v>
      </c>
      <c r="B25" s="142" t="s">
        <v>91</v>
      </c>
      <c r="C25" s="378">
        <v>7070.0</v>
      </c>
      <c r="D25" s="385" t="s">
        <v>878</v>
      </c>
      <c r="E25" s="378">
        <v>8200.0</v>
      </c>
      <c r="F25" s="385" t="s">
        <v>879</v>
      </c>
      <c r="G25" s="378">
        <v>7995.0</v>
      </c>
      <c r="H25" s="385" t="s">
        <v>880</v>
      </c>
      <c r="I25" s="378">
        <v>6454.0</v>
      </c>
      <c r="J25" s="385"/>
      <c r="K25" s="378">
        <v>8425.0</v>
      </c>
      <c r="L25" s="385" t="s">
        <v>881</v>
      </c>
      <c r="M25" s="378">
        <v>7425.0</v>
      </c>
      <c r="N25" s="385" t="s">
        <v>882</v>
      </c>
      <c r="O25" s="378">
        <v>8960.0</v>
      </c>
      <c r="P25" s="385" t="s">
        <v>838</v>
      </c>
      <c r="Q25" s="378">
        <v>8110.0</v>
      </c>
      <c r="R25" s="385" t="s">
        <v>884</v>
      </c>
      <c r="S25" s="378"/>
      <c r="T25" s="386"/>
      <c r="U25" s="378"/>
      <c r="V25" s="387"/>
      <c r="W25" s="378"/>
      <c r="X25" s="383"/>
      <c r="Y25" s="378"/>
      <c r="Z25" s="383"/>
    </row>
    <row r="26" ht="15.0" customHeight="1">
      <c r="A26" s="46">
        <v>19.0</v>
      </c>
      <c r="B26" s="142" t="s">
        <v>95</v>
      </c>
      <c r="C26" s="391">
        <v>7035.0</v>
      </c>
      <c r="D26" s="385">
        <v>104.22</v>
      </c>
      <c r="E26" s="391">
        <v>7015.0</v>
      </c>
      <c r="F26" s="385">
        <v>103.93</v>
      </c>
      <c r="G26" s="391">
        <v>8335.0</v>
      </c>
      <c r="H26" s="385">
        <v>123.48</v>
      </c>
      <c r="I26" s="391">
        <v>8335.0</v>
      </c>
      <c r="J26" s="385">
        <v>123.48</v>
      </c>
      <c r="K26" s="391">
        <v>8355.0</v>
      </c>
      <c r="L26" s="385">
        <v>123.48</v>
      </c>
      <c r="M26" s="391">
        <v>7175.0</v>
      </c>
      <c r="N26" s="385">
        <v>106.3</v>
      </c>
      <c r="O26" s="391">
        <v>7175.0</v>
      </c>
      <c r="P26" s="385">
        <v>106.3</v>
      </c>
      <c r="Q26" s="391">
        <v>7755.0</v>
      </c>
      <c r="R26" s="385">
        <v>114.89</v>
      </c>
      <c r="S26" s="391">
        <v>8570.0</v>
      </c>
      <c r="T26" s="386" t="s">
        <v>885</v>
      </c>
      <c r="U26" s="391">
        <v>9200.0</v>
      </c>
      <c r="V26" s="387">
        <v>1.363</v>
      </c>
      <c r="W26" s="391">
        <v>8440.0</v>
      </c>
      <c r="X26" s="388">
        <v>1.2504</v>
      </c>
      <c r="Y26" s="391">
        <v>6050.0</v>
      </c>
      <c r="Z26" s="388">
        <v>0.8963</v>
      </c>
    </row>
    <row r="27" ht="15.0" customHeight="1">
      <c r="A27" s="41">
        <v>20.0</v>
      </c>
      <c r="B27" s="142" t="s">
        <v>101</v>
      </c>
      <c r="C27" s="391">
        <v>9340.0</v>
      </c>
      <c r="D27" s="385" t="s">
        <v>886</v>
      </c>
      <c r="E27" s="391">
        <v>8490.0</v>
      </c>
      <c r="F27" s="385" t="s">
        <v>887</v>
      </c>
      <c r="G27" s="391">
        <v>9270.0</v>
      </c>
      <c r="H27" s="385" t="s">
        <v>814</v>
      </c>
      <c r="I27" s="391">
        <v>6810.0</v>
      </c>
      <c r="J27" s="385" t="s">
        <v>888</v>
      </c>
      <c r="K27" s="391">
        <v>9390.0</v>
      </c>
      <c r="L27" s="385" t="s">
        <v>889</v>
      </c>
      <c r="M27" s="391">
        <v>7830.0</v>
      </c>
      <c r="N27" s="385">
        <v>1.16</v>
      </c>
      <c r="O27" s="391">
        <v>8250.0</v>
      </c>
      <c r="P27" s="385" t="s">
        <v>890</v>
      </c>
      <c r="Q27" s="391">
        <v>9765.0</v>
      </c>
      <c r="R27" s="385" t="s">
        <v>891</v>
      </c>
      <c r="S27" s="391">
        <v>9080.0</v>
      </c>
      <c r="T27" s="386" t="s">
        <v>892</v>
      </c>
      <c r="U27" s="391">
        <v>9620.0</v>
      </c>
      <c r="V27" s="387">
        <v>1.4252</v>
      </c>
      <c r="W27" s="393"/>
      <c r="X27" s="383"/>
      <c r="Y27" s="393"/>
      <c r="Z27" s="383"/>
    </row>
    <row r="28" ht="15.0" customHeight="1">
      <c r="A28" s="46">
        <v>21.0</v>
      </c>
      <c r="B28" s="142" t="s">
        <v>107</v>
      </c>
      <c r="C28" s="391">
        <v>6350.0</v>
      </c>
      <c r="D28" s="385"/>
      <c r="E28" s="391">
        <v>7930.0</v>
      </c>
      <c r="F28" s="385" t="s">
        <v>894</v>
      </c>
      <c r="G28" s="391">
        <v>9000.0</v>
      </c>
      <c r="H28" s="385" t="s">
        <v>895</v>
      </c>
      <c r="I28" s="391">
        <v>5460.0</v>
      </c>
      <c r="J28" s="385" t="s">
        <v>835</v>
      </c>
      <c r="K28" s="391">
        <v>8000.0</v>
      </c>
      <c r="L28" s="385" t="s">
        <v>896</v>
      </c>
      <c r="M28" s="391">
        <v>7720.0</v>
      </c>
      <c r="N28" s="385" t="s">
        <v>897</v>
      </c>
      <c r="O28" s="391">
        <v>8320.0</v>
      </c>
      <c r="P28" s="385" t="s">
        <v>898</v>
      </c>
      <c r="Q28" s="391">
        <v>8970.0</v>
      </c>
      <c r="R28" s="385" t="s">
        <v>899</v>
      </c>
      <c r="S28" s="391">
        <v>8210.0</v>
      </c>
      <c r="T28" s="386" t="s">
        <v>900</v>
      </c>
      <c r="U28" s="391"/>
      <c r="V28" s="387"/>
      <c r="W28" s="393"/>
      <c r="X28" s="383"/>
      <c r="Y28" s="393"/>
      <c r="Z28" s="383"/>
    </row>
    <row r="29" ht="15.0" customHeight="1">
      <c r="A29" s="41">
        <v>22.0</v>
      </c>
      <c r="B29" s="142" t="s">
        <v>110</v>
      </c>
      <c r="C29" s="391">
        <v>8750.0</v>
      </c>
      <c r="D29" s="385" t="s">
        <v>846</v>
      </c>
      <c r="E29" s="391">
        <v>8435.0</v>
      </c>
      <c r="F29" s="385" t="s">
        <v>901</v>
      </c>
      <c r="G29" s="391">
        <v>8675.0</v>
      </c>
      <c r="H29" s="385" t="s">
        <v>902</v>
      </c>
      <c r="I29" s="391">
        <v>5810.0</v>
      </c>
      <c r="J29" s="385" t="s">
        <v>903</v>
      </c>
      <c r="K29" s="391">
        <v>9370.0</v>
      </c>
      <c r="L29" s="385" t="s">
        <v>904</v>
      </c>
      <c r="M29" s="391">
        <v>7810.0</v>
      </c>
      <c r="N29" s="385" t="s">
        <v>905</v>
      </c>
      <c r="O29" s="391">
        <v>8800.0</v>
      </c>
      <c r="P29" s="385" t="s">
        <v>906</v>
      </c>
      <c r="Q29" s="391">
        <v>9460.0</v>
      </c>
      <c r="R29" s="385" t="s">
        <v>907</v>
      </c>
      <c r="S29" s="391">
        <v>8210.0</v>
      </c>
      <c r="T29" s="387">
        <v>1.2163</v>
      </c>
      <c r="U29" s="391">
        <v>6190.0</v>
      </c>
      <c r="V29" s="387">
        <v>0.917</v>
      </c>
      <c r="W29" s="391">
        <v>7750.0</v>
      </c>
      <c r="X29" s="388">
        <v>1.1481</v>
      </c>
      <c r="Y29" s="391">
        <v>6650.0</v>
      </c>
      <c r="Z29" s="388">
        <v>0.9852</v>
      </c>
    </row>
    <row r="30" ht="15.0" customHeight="1">
      <c r="A30" s="46">
        <v>23.0</v>
      </c>
      <c r="B30" s="104" t="s">
        <v>115</v>
      </c>
      <c r="C30" s="391">
        <v>6805.0</v>
      </c>
      <c r="D30" s="385" t="s">
        <v>908</v>
      </c>
      <c r="E30" s="391">
        <v>6757.0</v>
      </c>
      <c r="F30" s="385" t="s">
        <v>909</v>
      </c>
      <c r="G30" s="391">
        <v>7255.0</v>
      </c>
      <c r="H30" s="385" t="s">
        <v>910</v>
      </c>
      <c r="I30" s="391">
        <v>2435.0</v>
      </c>
      <c r="J30" s="385" t="s">
        <v>911</v>
      </c>
      <c r="K30" s="391"/>
      <c r="L30" s="385"/>
      <c r="M30" s="391"/>
      <c r="N30" s="385"/>
      <c r="O30" s="391">
        <v>3980.0</v>
      </c>
      <c r="P30" s="385" t="s">
        <v>912</v>
      </c>
      <c r="Q30" s="391">
        <v>7610.0</v>
      </c>
      <c r="R30" s="385" t="s">
        <v>913</v>
      </c>
      <c r="S30" s="393"/>
      <c r="T30" s="386"/>
      <c r="U30" s="391"/>
      <c r="V30" s="387"/>
      <c r="W30" s="393"/>
      <c r="X30" s="383"/>
      <c r="Y30" s="393"/>
      <c r="Z30" s="383"/>
    </row>
    <row r="31" ht="15.0" customHeight="1">
      <c r="A31" s="41">
        <v>24.0</v>
      </c>
      <c r="B31" s="142" t="s">
        <v>121</v>
      </c>
      <c r="C31" s="391"/>
      <c r="D31" s="385"/>
      <c r="E31" s="391"/>
      <c r="F31" s="385"/>
      <c r="G31" s="391"/>
      <c r="H31" s="385"/>
      <c r="I31" s="391"/>
      <c r="J31" s="385"/>
      <c r="K31" s="391">
        <v>6160.0</v>
      </c>
      <c r="L31" s="385" t="s">
        <v>914</v>
      </c>
      <c r="M31" s="391">
        <v>6215.0</v>
      </c>
      <c r="N31" s="385" t="s">
        <v>915</v>
      </c>
      <c r="O31" s="391">
        <v>8280.0</v>
      </c>
      <c r="P31" s="385" t="s">
        <v>797</v>
      </c>
      <c r="Q31" s="391">
        <v>9270.0</v>
      </c>
      <c r="R31" s="385" t="s">
        <v>814</v>
      </c>
      <c r="S31" s="391">
        <v>7940.0</v>
      </c>
      <c r="T31" s="386" t="s">
        <v>916</v>
      </c>
      <c r="U31" s="391"/>
      <c r="V31" s="387"/>
      <c r="W31" s="393"/>
      <c r="X31" s="383"/>
      <c r="Y31" s="393"/>
      <c r="Z31" s="38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1:Z1"/>
    <mergeCell ref="A2:Z2"/>
    <mergeCell ref="A3:Z3"/>
    <mergeCell ref="A5:A7"/>
    <mergeCell ref="B5:B7"/>
    <mergeCell ref="C5:D5"/>
    <mergeCell ref="E5:F5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1.57"/>
    <col customWidth="1" min="3" max="3" width="13.71"/>
    <col customWidth="1" min="4" max="4" width="9.43"/>
    <col customWidth="1" min="5" max="5" width="15.43"/>
    <col customWidth="1" min="6" max="6" width="2.0"/>
    <col customWidth="1" min="7" max="7" width="4.0"/>
    <col customWidth="1" min="8" max="8" width="18.57"/>
    <col customWidth="1" min="9" max="9" width="11.57"/>
    <col customWidth="1" min="10" max="26" width="8.71"/>
  </cols>
  <sheetData>
    <row r="1">
      <c r="A1" s="3" t="s">
        <v>867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90" t="s">
        <v>883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33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0" customHeight="1">
      <c r="A5" s="392" t="s">
        <v>15</v>
      </c>
      <c r="B5" s="392" t="s">
        <v>19</v>
      </c>
      <c r="C5" s="392" t="s">
        <v>893</v>
      </c>
      <c r="D5" s="394" t="s">
        <v>352</v>
      </c>
      <c r="E5" s="392" t="s">
        <v>48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8.25" customHeight="1">
      <c r="A6" s="36"/>
      <c r="B6" s="36"/>
      <c r="C6" s="36"/>
      <c r="D6" s="36"/>
      <c r="E6" s="3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395">
        <v>1.0</v>
      </c>
      <c r="B7" s="342" t="s">
        <v>10</v>
      </c>
      <c r="C7" s="395">
        <v>3.0</v>
      </c>
      <c r="D7" s="396"/>
      <c r="E7" s="39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395">
        <v>2.0</v>
      </c>
      <c r="B8" s="342" t="s">
        <v>16</v>
      </c>
      <c r="C8" s="395">
        <v>1.0</v>
      </c>
      <c r="D8" s="396"/>
      <c r="E8" s="397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395">
        <v>3.0</v>
      </c>
      <c r="B9" s="342" t="s">
        <v>88</v>
      </c>
      <c r="C9" s="395">
        <v>3.0</v>
      </c>
      <c r="D9" s="396"/>
      <c r="E9" s="397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395">
        <v>4.0</v>
      </c>
      <c r="B10" s="342" t="s">
        <v>22</v>
      </c>
      <c r="C10" s="395">
        <v>0.0</v>
      </c>
      <c r="D10" s="396"/>
      <c r="E10" s="39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395">
        <v>5.0</v>
      </c>
      <c r="B11" s="342" t="s">
        <v>32</v>
      </c>
      <c r="C11" s="395">
        <v>1.0</v>
      </c>
      <c r="D11" s="396"/>
      <c r="E11" s="39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395">
        <v>6.0</v>
      </c>
      <c r="B12" s="342" t="s">
        <v>35</v>
      </c>
      <c r="C12" s="395">
        <v>2.0</v>
      </c>
      <c r="D12" s="398" t="s">
        <v>919</v>
      </c>
      <c r="E12" s="39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395">
        <v>7.0</v>
      </c>
      <c r="B13" s="342" t="s">
        <v>39</v>
      </c>
      <c r="C13" s="395">
        <v>2.0</v>
      </c>
      <c r="D13" s="396"/>
      <c r="E13" s="39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395">
        <v>8.0</v>
      </c>
      <c r="B14" s="342" t="s">
        <v>49</v>
      </c>
      <c r="C14" s="395">
        <v>0.0</v>
      </c>
      <c r="D14" s="396"/>
      <c r="E14" s="39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395">
        <v>9.0</v>
      </c>
      <c r="B15" s="342" t="s">
        <v>61</v>
      </c>
      <c r="C15" s="395">
        <v>1.0</v>
      </c>
      <c r="D15" s="396"/>
      <c r="E15" s="39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395">
        <v>10.0</v>
      </c>
      <c r="B16" s="342" t="s">
        <v>69</v>
      </c>
      <c r="C16" s="395">
        <v>0.0</v>
      </c>
      <c r="D16" s="396"/>
      <c r="E16" s="39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395">
        <v>11.0</v>
      </c>
      <c r="B17" s="342" t="s">
        <v>72</v>
      </c>
      <c r="C17" s="395">
        <v>1.0</v>
      </c>
      <c r="D17" s="396"/>
      <c r="E17" s="39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395">
        <v>12.0</v>
      </c>
      <c r="B18" s="342" t="s">
        <v>75</v>
      </c>
      <c r="C18" s="395">
        <v>0.0</v>
      </c>
      <c r="D18" s="396"/>
      <c r="E18" s="39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395">
        <v>13.0</v>
      </c>
      <c r="B19" s="399" t="s">
        <v>80</v>
      </c>
      <c r="C19" s="400">
        <v>1.0</v>
      </c>
      <c r="D19" s="396"/>
      <c r="E19" s="39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395">
        <v>14.0</v>
      </c>
      <c r="B20" s="342" t="s">
        <v>91</v>
      </c>
      <c r="C20" s="395">
        <v>1.0</v>
      </c>
      <c r="D20" s="396"/>
      <c r="E20" s="39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395">
        <v>15.0</v>
      </c>
      <c r="B21" s="342" t="s">
        <v>95</v>
      </c>
      <c r="C21" s="395">
        <v>3.0</v>
      </c>
      <c r="D21" s="396"/>
      <c r="E21" s="39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395">
        <v>16.0</v>
      </c>
      <c r="B22" s="342" t="s">
        <v>101</v>
      </c>
      <c r="C22" s="395">
        <v>1.0</v>
      </c>
      <c r="D22" s="396"/>
      <c r="E22" s="39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395">
        <v>17.0</v>
      </c>
      <c r="B23" s="342" t="s">
        <v>107</v>
      </c>
      <c r="C23" s="395">
        <v>0.0</v>
      </c>
      <c r="D23" s="396"/>
      <c r="E23" s="39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395">
        <v>18.0</v>
      </c>
      <c r="B24" s="342" t="s">
        <v>110</v>
      </c>
      <c r="C24" s="395">
        <v>0.0</v>
      </c>
      <c r="D24" s="396"/>
      <c r="E24" s="39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395">
        <v>19.0</v>
      </c>
      <c r="B25" s="342" t="s">
        <v>115</v>
      </c>
      <c r="C25" s="395">
        <v>1.0</v>
      </c>
      <c r="D25" s="396"/>
      <c r="E25" s="39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395">
        <v>20.0</v>
      </c>
      <c r="B26" s="342" t="s">
        <v>121</v>
      </c>
      <c r="C26" s="395">
        <v>1.0</v>
      </c>
      <c r="D26" s="396"/>
      <c r="E26" s="39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395">
        <v>21.0</v>
      </c>
      <c r="B27" s="342" t="s">
        <v>132</v>
      </c>
      <c r="C27" s="401">
        <v>0.0</v>
      </c>
      <c r="D27" s="396"/>
      <c r="E27" s="39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395">
        <v>22.0</v>
      </c>
      <c r="B28" s="342" t="s">
        <v>143</v>
      </c>
      <c r="C28" s="401">
        <v>0.0</v>
      </c>
      <c r="D28" s="396"/>
      <c r="E28" s="39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395">
        <v>23.0</v>
      </c>
      <c r="B29" s="340" t="s">
        <v>262</v>
      </c>
      <c r="C29" s="401">
        <v>0.0</v>
      </c>
      <c r="D29" s="396"/>
      <c r="E29" s="39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395">
        <v>24.0</v>
      </c>
      <c r="B30" s="340" t="s">
        <v>146</v>
      </c>
      <c r="C30" s="401">
        <v>2.0</v>
      </c>
      <c r="D30" s="396"/>
      <c r="E30" s="39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395">
        <v>25.0</v>
      </c>
      <c r="B31" s="342" t="s">
        <v>151</v>
      </c>
      <c r="C31" s="401">
        <v>3.0</v>
      </c>
      <c r="D31" s="398" t="s">
        <v>926</v>
      </c>
      <c r="E31" s="39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395">
        <v>26.0</v>
      </c>
      <c r="B32" s="342" t="s">
        <v>158</v>
      </c>
      <c r="C32" s="401">
        <v>2.0</v>
      </c>
      <c r="D32" s="396"/>
      <c r="E32" s="39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395">
        <v>27.0</v>
      </c>
      <c r="B33" s="342" t="s">
        <v>278</v>
      </c>
      <c r="C33" s="401">
        <v>0.0</v>
      </c>
      <c r="D33" s="396"/>
      <c r="E33" s="39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395">
        <v>28.0</v>
      </c>
      <c r="B34" s="342" t="s">
        <v>162</v>
      </c>
      <c r="C34" s="401">
        <v>0.0</v>
      </c>
      <c r="D34" s="396"/>
      <c r="E34" s="39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395">
        <v>29.0</v>
      </c>
      <c r="B35" s="342" t="s">
        <v>166</v>
      </c>
      <c r="C35" s="395">
        <v>2.0</v>
      </c>
      <c r="D35" s="398" t="s">
        <v>930</v>
      </c>
      <c r="E35" s="39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395">
        <v>30.0</v>
      </c>
      <c r="B36" s="348" t="s">
        <v>172</v>
      </c>
      <c r="C36" s="395">
        <v>1.0</v>
      </c>
      <c r="D36" s="396"/>
      <c r="E36" s="39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395">
        <v>31.0</v>
      </c>
      <c r="B37" s="348" t="s">
        <v>181</v>
      </c>
      <c r="C37" s="409">
        <v>0.0</v>
      </c>
      <c r="D37" s="396"/>
      <c r="E37" s="39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395">
        <v>32.0</v>
      </c>
      <c r="B38" s="348" t="s">
        <v>933</v>
      </c>
      <c r="C38" s="332">
        <v>0.0</v>
      </c>
      <c r="D38" s="411"/>
      <c r="E38" s="39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395">
        <v>33.0</v>
      </c>
      <c r="B39" s="348" t="s">
        <v>937</v>
      </c>
      <c r="C39" s="332">
        <v>0.0</v>
      </c>
      <c r="D39" s="411"/>
      <c r="E39" s="39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395">
        <v>34.0</v>
      </c>
      <c r="B40" s="348" t="s">
        <v>939</v>
      </c>
      <c r="C40" s="332">
        <v>0.0</v>
      </c>
      <c r="D40" s="411"/>
      <c r="E40" s="39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33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33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33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33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33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33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33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33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33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33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33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33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33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33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33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33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33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33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33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33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33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331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331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33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33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33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33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33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331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331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331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331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33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33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331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33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33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331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331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331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331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331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331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33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33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331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331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331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331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331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331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331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331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33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331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33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331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331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331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331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33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33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331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33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331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331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331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331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331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331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331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331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331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33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331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331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331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331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331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331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331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331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331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331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331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331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331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331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331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331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331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331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331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33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331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331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331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331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331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331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331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331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331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33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331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331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331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331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331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331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331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331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331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33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33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33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331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331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33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331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331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331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33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33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331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331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33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33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331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331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33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331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33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33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331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331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331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33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33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331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331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331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33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33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331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331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331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331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331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33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331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331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33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33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33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33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33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33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33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33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33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33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33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33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33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33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33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33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33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33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33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33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33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33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33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33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33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33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33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33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331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33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33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33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33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33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33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33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33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33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33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33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33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33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33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33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33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33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33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33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33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33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33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33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33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33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33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33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33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33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33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33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33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33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33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33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33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33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33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331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33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33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331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33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33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33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33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33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33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33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33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33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33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33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33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33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33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33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33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33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33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33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33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33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33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33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33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33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33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33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33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33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33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33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33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33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33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33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33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33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33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33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33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33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33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33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33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33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33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33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33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33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33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33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33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33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33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33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33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33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33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33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33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33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33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33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33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33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33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33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33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33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33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33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33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33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33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33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33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33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33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33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33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33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33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33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33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33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33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33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33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33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33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33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33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33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33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33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33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33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33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33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33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33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33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33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33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33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33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33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33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33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33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33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33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33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33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33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33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33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33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33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33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33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33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33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33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33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33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33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33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33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33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33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33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33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33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33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33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33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33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33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33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33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33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33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33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33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33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33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33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33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33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33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33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33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33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33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33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33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33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33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33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33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33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33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33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33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33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33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33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33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33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33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33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33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33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33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33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33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33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33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33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33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33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33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33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33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33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33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33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33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33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33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33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33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33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33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33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33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33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33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331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33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331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33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33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33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33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331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33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33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33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33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331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331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331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33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33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331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33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331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33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33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33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331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33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33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33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331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331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331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331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33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33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331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33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331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33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33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33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33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331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33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33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33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331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33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331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33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33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33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33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33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33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33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33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33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331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33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33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33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331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33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331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33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33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33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331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33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33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33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33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33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33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33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33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33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33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33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33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33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331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33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33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33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331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331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33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33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33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331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331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33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33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33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331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331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331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33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33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33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331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33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33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33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33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331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33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33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33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33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33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331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33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331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33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33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33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33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33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33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33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33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33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33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331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33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33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33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331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331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33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33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331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331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33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33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33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33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331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33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331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33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33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33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33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331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33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33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33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33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331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331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33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33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33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33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33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331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33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33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33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33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33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33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33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33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331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33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331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33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33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33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33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33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331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33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33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331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33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33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331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33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33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33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331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33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33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33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33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331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33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331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33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33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33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33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33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33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33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331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331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331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33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33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33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331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331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331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33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331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331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331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331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331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33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331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331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331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33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33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33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33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331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331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331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331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331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33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331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331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33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33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33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331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331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331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33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331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331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331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331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331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33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331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331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331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33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33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33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331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331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331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33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33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33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331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331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331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33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331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33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331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331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33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331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33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331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331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331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33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331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331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331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331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33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33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331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331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331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331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331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33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331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331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331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331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33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33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331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331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33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331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33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331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331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33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331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331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33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331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331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331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33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33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331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33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331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331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331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33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331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331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331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331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331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33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331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331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33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33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33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331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331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331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331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33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331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331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331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331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331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331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33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331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331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33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33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33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331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331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331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331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33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331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331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331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331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331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33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331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33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331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33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331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33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331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331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331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331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33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331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331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331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331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331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33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331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331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331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33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33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331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331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331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33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331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331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331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331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331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33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331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331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331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33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331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33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331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331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331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331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331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33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331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33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331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331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331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33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33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331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331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331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33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331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331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331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331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33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331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331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331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331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331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331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33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331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331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331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33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33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331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33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331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331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331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33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331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331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331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331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331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33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331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331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331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33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331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331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331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331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33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331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331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331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331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331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331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33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331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33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331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33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33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331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331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331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331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33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331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331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331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331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331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33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331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331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331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331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33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33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331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331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331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33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331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331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331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331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331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331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33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331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331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331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33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33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331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33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331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331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331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33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33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331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331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331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33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331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331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331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331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331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33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331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33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331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331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331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33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331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331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331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33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331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331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331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331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331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33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33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331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331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331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331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33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331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331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331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331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331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331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331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331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331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331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331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331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A1:E1"/>
    <mergeCell ref="A2:E2"/>
    <mergeCell ref="A3:E3"/>
    <mergeCell ref="A5:A6"/>
    <mergeCell ref="B5:B6"/>
    <mergeCell ref="C5:C6"/>
    <mergeCell ref="D5:D6"/>
    <mergeCell ref="E5:E6"/>
  </mergeCells>
  <printOptions/>
  <pageMargins bottom="0.75" footer="0.0" header="0.0" left="0.7" right="0.7" top="0.75"/>
  <pageSetup paperSize="9" scale="9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8.43"/>
    <col customWidth="1" min="3" max="3" width="22.43"/>
    <col customWidth="1" min="4" max="4" width="25.43"/>
    <col customWidth="1" min="5" max="26" width="8.71"/>
  </cols>
  <sheetData>
    <row r="1" ht="15.0" customHeight="1">
      <c r="A1" s="7" t="s">
        <v>920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923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924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402" t="s">
        <v>1</v>
      </c>
      <c r="B6" s="402" t="s">
        <v>3</v>
      </c>
      <c r="C6" s="402" t="s">
        <v>925</v>
      </c>
      <c r="D6" s="402" t="s">
        <v>48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403">
        <v>1.0</v>
      </c>
      <c r="B7" s="404" t="s">
        <v>10</v>
      </c>
      <c r="C7" s="405">
        <v>1.0</v>
      </c>
      <c r="D7" s="197"/>
    </row>
    <row r="8" ht="16.5" customHeight="1">
      <c r="A8" s="240">
        <v>2.0</v>
      </c>
      <c r="B8" s="406" t="s">
        <v>16</v>
      </c>
      <c r="C8" s="407">
        <v>2.0</v>
      </c>
      <c r="D8" s="197" t="s">
        <v>927</v>
      </c>
    </row>
    <row r="9" ht="16.5" customHeight="1">
      <c r="A9" s="403">
        <v>3.0</v>
      </c>
      <c r="B9" s="406" t="s">
        <v>88</v>
      </c>
      <c r="C9" s="405">
        <v>3.0</v>
      </c>
      <c r="D9" s="197" t="s">
        <v>928</v>
      </c>
    </row>
    <row r="10" ht="16.5" customHeight="1">
      <c r="A10" s="240">
        <v>4.0</v>
      </c>
      <c r="B10" s="406" t="s">
        <v>22</v>
      </c>
      <c r="C10" s="407">
        <v>4.0</v>
      </c>
      <c r="D10" s="197" t="s">
        <v>929</v>
      </c>
    </row>
    <row r="11" ht="16.5" customHeight="1">
      <c r="A11" s="403">
        <v>5.0</v>
      </c>
      <c r="B11" s="406" t="s">
        <v>32</v>
      </c>
      <c r="C11" s="405">
        <v>5.0</v>
      </c>
      <c r="D11" s="197" t="s">
        <v>927</v>
      </c>
    </row>
    <row r="12" ht="16.5" customHeight="1">
      <c r="A12" s="240">
        <v>6.0</v>
      </c>
      <c r="B12" s="406" t="s">
        <v>35</v>
      </c>
      <c r="C12" s="407">
        <v>6.0</v>
      </c>
      <c r="D12" s="197" t="s">
        <v>927</v>
      </c>
      <c r="F12" s="408"/>
    </row>
    <row r="13" ht="16.5" customHeight="1">
      <c r="A13" s="403">
        <v>7.0</v>
      </c>
      <c r="B13" s="406" t="s">
        <v>39</v>
      </c>
      <c r="C13" s="405">
        <v>7.0</v>
      </c>
      <c r="D13" s="197"/>
    </row>
    <row r="14" ht="16.5" customHeight="1">
      <c r="A14" s="240">
        <v>8.0</v>
      </c>
      <c r="B14" s="406" t="s">
        <v>49</v>
      </c>
      <c r="C14" s="407">
        <v>8.0</v>
      </c>
      <c r="D14" s="197"/>
    </row>
    <row r="15" ht="16.5" customHeight="1">
      <c r="A15" s="403">
        <v>9.0</v>
      </c>
      <c r="B15" s="406" t="s">
        <v>61</v>
      </c>
      <c r="C15" s="405">
        <v>9.0</v>
      </c>
      <c r="D15" s="197"/>
    </row>
    <row r="16" ht="16.5" customHeight="1">
      <c r="A16" s="240">
        <v>10.0</v>
      </c>
      <c r="B16" s="406" t="s">
        <v>66</v>
      </c>
      <c r="C16" s="407">
        <v>10.0</v>
      </c>
      <c r="D16" s="197"/>
    </row>
    <row r="17" ht="16.5" customHeight="1">
      <c r="A17" s="403">
        <v>11.0</v>
      </c>
      <c r="B17" s="406" t="s">
        <v>69</v>
      </c>
      <c r="C17" s="405">
        <v>11.0</v>
      </c>
      <c r="D17" s="197"/>
    </row>
    <row r="18" ht="16.5" customHeight="1">
      <c r="A18" s="240">
        <v>12.0</v>
      </c>
      <c r="B18" s="406" t="s">
        <v>72</v>
      </c>
      <c r="C18" s="407">
        <v>12.0</v>
      </c>
      <c r="D18" s="197"/>
      <c r="J18" s="175" t="s">
        <v>391</v>
      </c>
    </row>
    <row r="19" ht="16.5" customHeight="1">
      <c r="A19" s="403">
        <v>13.0</v>
      </c>
      <c r="B19" s="406" t="s">
        <v>75</v>
      </c>
      <c r="C19" s="405">
        <v>13.0</v>
      </c>
      <c r="D19" s="197"/>
      <c r="H19" s="5" t="s">
        <v>931</v>
      </c>
    </row>
    <row r="20" ht="16.5" customHeight="1">
      <c r="A20" s="240">
        <v>14.0</v>
      </c>
      <c r="B20" s="406" t="s">
        <v>77</v>
      </c>
      <c r="C20" s="407">
        <v>14.0</v>
      </c>
      <c r="D20" s="197"/>
    </row>
    <row r="21" ht="16.5" customHeight="1">
      <c r="A21" s="403">
        <v>15.0</v>
      </c>
      <c r="B21" s="410" t="s">
        <v>80</v>
      </c>
      <c r="C21" s="405">
        <v>15.0</v>
      </c>
      <c r="D21" s="197"/>
    </row>
    <row r="22" ht="16.5" customHeight="1">
      <c r="A22" s="240">
        <v>16.0</v>
      </c>
      <c r="B22" s="406" t="s">
        <v>89</v>
      </c>
      <c r="C22" s="407">
        <v>16.0</v>
      </c>
      <c r="D22" s="197"/>
    </row>
    <row r="23" ht="16.5" customHeight="1">
      <c r="A23" s="403">
        <v>17.0</v>
      </c>
      <c r="B23" s="406" t="s">
        <v>91</v>
      </c>
      <c r="C23" s="405">
        <v>17.0</v>
      </c>
      <c r="D23" s="197" t="s">
        <v>936</v>
      </c>
    </row>
    <row r="24" ht="16.5" customHeight="1">
      <c r="A24" s="240">
        <v>18.0</v>
      </c>
      <c r="B24" s="406" t="s">
        <v>95</v>
      </c>
      <c r="C24" s="407">
        <v>18.0</v>
      </c>
      <c r="D24" s="197"/>
    </row>
    <row r="25" ht="16.5" customHeight="1">
      <c r="A25" s="403">
        <v>19.0</v>
      </c>
      <c r="B25" s="406" t="s">
        <v>101</v>
      </c>
      <c r="C25" s="405">
        <v>19.0</v>
      </c>
      <c r="D25" s="197"/>
    </row>
    <row r="26" ht="16.5" customHeight="1">
      <c r="A26" s="240">
        <v>20.0</v>
      </c>
      <c r="B26" s="406" t="s">
        <v>107</v>
      </c>
      <c r="C26" s="407">
        <v>20.0</v>
      </c>
      <c r="D26" s="197"/>
    </row>
    <row r="27" ht="16.5" customHeight="1">
      <c r="A27" s="403">
        <v>21.0</v>
      </c>
      <c r="B27" s="406" t="s">
        <v>110</v>
      </c>
      <c r="C27" s="405">
        <v>21.0</v>
      </c>
      <c r="D27" s="197" t="s">
        <v>928</v>
      </c>
      <c r="K27" s="5" t="s">
        <v>391</v>
      </c>
    </row>
    <row r="28" ht="16.5" customHeight="1">
      <c r="A28" s="240">
        <v>22.0</v>
      </c>
      <c r="B28" s="406" t="s">
        <v>115</v>
      </c>
      <c r="C28" s="407">
        <v>22.0</v>
      </c>
      <c r="D28" s="197"/>
    </row>
    <row r="29" ht="16.5" customHeight="1">
      <c r="A29" s="403">
        <v>23.0</v>
      </c>
      <c r="B29" s="406" t="s">
        <v>121</v>
      </c>
      <c r="C29" s="405">
        <v>23.0</v>
      </c>
      <c r="D29" s="197"/>
    </row>
    <row r="30" ht="16.5" customHeight="1">
      <c r="A30" s="240">
        <v>24.0</v>
      </c>
      <c r="B30" s="406" t="s">
        <v>331</v>
      </c>
      <c r="C30" s="412">
        <v>24.0</v>
      </c>
      <c r="D30" s="197" t="s">
        <v>928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403">
        <v>25.0</v>
      </c>
      <c r="B31" s="406" t="s">
        <v>333</v>
      </c>
      <c r="C31" s="405">
        <v>25.0</v>
      </c>
      <c r="D31" s="19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240">
        <v>26.0</v>
      </c>
      <c r="B32" s="406" t="s">
        <v>143</v>
      </c>
      <c r="C32" s="412">
        <v>26.0</v>
      </c>
      <c r="D32" s="19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403">
        <v>27.0</v>
      </c>
      <c r="B33" s="406" t="s">
        <v>334</v>
      </c>
      <c r="C33" s="405">
        <v>27.0</v>
      </c>
      <c r="D33" s="19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240">
        <v>28.0</v>
      </c>
      <c r="B34" s="406" t="s">
        <v>335</v>
      </c>
      <c r="C34" s="412">
        <v>28.0</v>
      </c>
      <c r="D34" s="19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403">
        <v>29.0</v>
      </c>
      <c r="B35" s="406" t="s">
        <v>336</v>
      </c>
      <c r="C35" s="405">
        <v>29.0</v>
      </c>
      <c r="D35" s="19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240">
        <v>30.0</v>
      </c>
      <c r="B36" s="413" t="s">
        <v>127</v>
      </c>
      <c r="C36" s="407">
        <v>30.0</v>
      </c>
      <c r="D36" s="197"/>
    </row>
    <row r="37" ht="16.5" customHeight="1">
      <c r="A37" s="403">
        <v>31.0</v>
      </c>
      <c r="B37" s="406" t="s">
        <v>132</v>
      </c>
      <c r="C37" s="405">
        <v>31.0</v>
      </c>
      <c r="D37" s="197"/>
    </row>
    <row r="38" ht="16.5" customHeight="1">
      <c r="A38" s="240">
        <v>32.0</v>
      </c>
      <c r="B38" s="406" t="s">
        <v>138</v>
      </c>
      <c r="C38" s="407">
        <v>32.0</v>
      </c>
      <c r="D38" s="197"/>
    </row>
    <row r="39" ht="16.5" customHeight="1">
      <c r="A39" s="403">
        <v>33.0</v>
      </c>
      <c r="B39" s="413" t="s">
        <v>262</v>
      </c>
      <c r="C39" s="415">
        <v>33.0</v>
      </c>
      <c r="D39" s="197"/>
    </row>
    <row r="40" ht="16.5" customHeight="1">
      <c r="A40" s="240">
        <v>34.0</v>
      </c>
      <c r="B40" s="413" t="s">
        <v>146</v>
      </c>
      <c r="C40" s="412">
        <v>34.0</v>
      </c>
      <c r="D40" s="197"/>
    </row>
    <row r="41" ht="16.5" customHeight="1">
      <c r="A41" s="403">
        <v>35.0</v>
      </c>
      <c r="B41" s="406" t="s">
        <v>151</v>
      </c>
      <c r="C41" s="415">
        <v>35.0</v>
      </c>
      <c r="D41" s="197"/>
    </row>
    <row r="42" ht="16.5" customHeight="1">
      <c r="A42" s="240">
        <v>36.0</v>
      </c>
      <c r="B42" s="406" t="s">
        <v>158</v>
      </c>
      <c r="C42" s="412">
        <v>36.0</v>
      </c>
      <c r="D42" s="197"/>
    </row>
    <row r="43" ht="16.5" customHeight="1">
      <c r="A43" s="403">
        <v>37.0</v>
      </c>
      <c r="B43" s="406" t="s">
        <v>278</v>
      </c>
      <c r="C43" s="415">
        <v>37.0</v>
      </c>
      <c r="D43" s="197"/>
    </row>
    <row r="44" ht="16.5" customHeight="1">
      <c r="A44" s="240">
        <v>38.0</v>
      </c>
      <c r="B44" s="406" t="s">
        <v>162</v>
      </c>
      <c r="C44" s="412">
        <v>38.0</v>
      </c>
      <c r="D44" s="197"/>
    </row>
    <row r="45" ht="16.5" customHeight="1">
      <c r="A45" s="403">
        <v>39.0</v>
      </c>
      <c r="B45" s="406" t="s">
        <v>166</v>
      </c>
      <c r="C45" s="415">
        <v>39.0</v>
      </c>
      <c r="D45" s="197"/>
    </row>
    <row r="46" ht="16.5" customHeight="1">
      <c r="A46" s="240">
        <v>40.0</v>
      </c>
      <c r="B46" s="416" t="s">
        <v>169</v>
      </c>
      <c r="C46" s="412">
        <v>40.0</v>
      </c>
      <c r="D46" s="197" t="s">
        <v>928</v>
      </c>
    </row>
    <row r="47" ht="16.5" customHeight="1">
      <c r="A47" s="403">
        <v>41.0</v>
      </c>
      <c r="B47" s="416" t="s">
        <v>172</v>
      </c>
      <c r="C47" s="415">
        <v>41.0</v>
      </c>
      <c r="D47" s="197"/>
    </row>
    <row r="48" ht="16.5" customHeight="1">
      <c r="A48" s="240">
        <v>42.0</v>
      </c>
      <c r="B48" s="416" t="s">
        <v>940</v>
      </c>
      <c r="C48" s="412">
        <v>42.0</v>
      </c>
      <c r="D48" s="197"/>
    </row>
    <row r="49" ht="16.5" customHeight="1">
      <c r="A49" s="403">
        <v>43.0</v>
      </c>
      <c r="B49" s="416" t="s">
        <v>181</v>
      </c>
      <c r="C49" s="415">
        <v>43.0</v>
      </c>
      <c r="D49" s="197"/>
    </row>
    <row r="50" ht="15.75" customHeight="1"/>
    <row r="51" ht="15.75" customHeight="1">
      <c r="C51" s="418" t="s">
        <v>302</v>
      </c>
    </row>
    <row r="52" ht="15.75" customHeight="1">
      <c r="C52" s="418" t="s">
        <v>304</v>
      </c>
    </row>
    <row r="53" ht="15.75" customHeight="1">
      <c r="C53" s="419"/>
      <c r="D53" s="420"/>
      <c r="E53" s="419"/>
    </row>
    <row r="54" ht="15.75" customHeight="1">
      <c r="C54" s="419"/>
      <c r="D54" s="420"/>
      <c r="E54" s="419"/>
    </row>
    <row r="55" ht="15.75" customHeight="1">
      <c r="C55" s="421" t="s">
        <v>307</v>
      </c>
    </row>
    <row r="56" ht="15.75" customHeight="1">
      <c r="C56" s="422" t="s">
        <v>308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A70" s="7" t="s">
        <v>943</v>
      </c>
      <c r="E70" s="5"/>
    </row>
    <row r="71" ht="15.75" customHeight="1">
      <c r="A71" s="3" t="s">
        <v>7</v>
      </c>
      <c r="E71" s="5"/>
    </row>
    <row r="72" ht="15.75" customHeight="1">
      <c r="A72" s="3" t="s">
        <v>944</v>
      </c>
      <c r="E72" s="5"/>
    </row>
    <row r="73" ht="15.75" customHeight="1">
      <c r="A73" s="5" t="s">
        <v>945</v>
      </c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402" t="s">
        <v>1</v>
      </c>
      <c r="B75" s="402" t="s">
        <v>3</v>
      </c>
      <c r="C75" s="402" t="s">
        <v>925</v>
      </c>
      <c r="D75" s="402" t="s">
        <v>48</v>
      </c>
      <c r="E75" s="5"/>
    </row>
    <row r="76" ht="15.75" customHeight="1">
      <c r="A76" s="403">
        <v>1.0</v>
      </c>
      <c r="B76" s="404"/>
      <c r="C76" s="405">
        <v>1.0</v>
      </c>
      <c r="D76" s="197"/>
      <c r="E76" s="5"/>
    </row>
    <row r="77" ht="15.75" customHeight="1">
      <c r="A77" s="240">
        <v>2.0</v>
      </c>
      <c r="B77" s="406"/>
      <c r="C77" s="407">
        <v>2.0</v>
      </c>
      <c r="D77" s="197"/>
      <c r="E77" s="5"/>
    </row>
    <row r="78" ht="15.75" customHeight="1">
      <c r="A78" s="403">
        <v>3.0</v>
      </c>
      <c r="B78" s="406"/>
      <c r="C78" s="405">
        <v>3.0</v>
      </c>
      <c r="D78" s="197"/>
      <c r="E78" s="5"/>
    </row>
    <row r="79" ht="15.75" customHeight="1">
      <c r="A79" s="240">
        <v>4.0</v>
      </c>
      <c r="B79" s="406"/>
      <c r="C79" s="407">
        <v>4.0</v>
      </c>
      <c r="D79" s="197"/>
      <c r="E79" s="5"/>
    </row>
    <row r="80" ht="15.75" customHeight="1">
      <c r="A80" s="403">
        <v>5.0</v>
      </c>
      <c r="B80" s="406"/>
      <c r="C80" s="405">
        <v>5.0</v>
      </c>
      <c r="D80" s="197"/>
      <c r="E80" s="5"/>
    </row>
    <row r="81" ht="15.75" customHeight="1">
      <c r="A81" s="240">
        <v>6.0</v>
      </c>
      <c r="B81" s="406"/>
      <c r="C81" s="407">
        <v>6.0</v>
      </c>
      <c r="D81" s="197"/>
      <c r="E81" s="5"/>
    </row>
    <row r="82" ht="15.75" customHeight="1">
      <c r="A82" s="403">
        <v>7.0</v>
      </c>
      <c r="B82" s="406"/>
      <c r="C82" s="405">
        <v>7.0</v>
      </c>
      <c r="D82" s="197"/>
      <c r="E82" s="5"/>
    </row>
    <row r="83" ht="15.75" customHeight="1">
      <c r="A83" s="240">
        <v>8.0</v>
      </c>
      <c r="B83" s="406"/>
      <c r="C83" s="407">
        <v>8.0</v>
      </c>
      <c r="D83" s="197"/>
      <c r="E83" s="5"/>
    </row>
    <row r="84" ht="15.75" customHeight="1">
      <c r="A84" s="403">
        <v>9.0</v>
      </c>
      <c r="B84" s="406"/>
      <c r="C84" s="405">
        <v>9.0</v>
      </c>
      <c r="D84" s="197"/>
      <c r="E84" s="5"/>
    </row>
    <row r="85" ht="15.75" customHeight="1">
      <c r="A85" s="240">
        <v>10.0</v>
      </c>
      <c r="B85" s="406"/>
      <c r="C85" s="407">
        <v>10.0</v>
      </c>
      <c r="D85" s="197"/>
      <c r="E85" s="5"/>
    </row>
    <row r="86" ht="15.75" customHeight="1">
      <c r="A86" s="403">
        <v>11.0</v>
      </c>
      <c r="B86" s="406"/>
      <c r="C86" s="405">
        <v>11.0</v>
      </c>
      <c r="D86" s="197"/>
      <c r="E86" s="5"/>
    </row>
    <row r="87" ht="15.75" customHeight="1">
      <c r="A87" s="240">
        <v>12.0</v>
      </c>
      <c r="B87" s="406"/>
      <c r="C87" s="407">
        <v>12.0</v>
      </c>
      <c r="D87" s="197"/>
      <c r="E87" s="5"/>
    </row>
    <row r="88" ht="15.75" customHeight="1">
      <c r="A88" s="403">
        <v>13.0</v>
      </c>
      <c r="B88" s="406"/>
      <c r="C88" s="405">
        <v>13.0</v>
      </c>
      <c r="D88" s="197"/>
      <c r="E88" s="5"/>
    </row>
    <row r="89" ht="15.75" customHeight="1">
      <c r="A89" s="240">
        <v>14.0</v>
      </c>
      <c r="B89" s="406"/>
      <c r="C89" s="407">
        <v>14.0</v>
      </c>
      <c r="D89" s="197"/>
      <c r="E89" s="5"/>
    </row>
    <row r="90" ht="15.75" customHeight="1">
      <c r="A90" s="403">
        <v>15.0</v>
      </c>
      <c r="B90" s="410"/>
      <c r="C90" s="405">
        <v>15.0</v>
      </c>
      <c r="D90" s="197"/>
      <c r="E90" s="5"/>
    </row>
    <row r="91" ht="15.75" customHeight="1">
      <c r="A91" s="240">
        <v>16.0</v>
      </c>
      <c r="B91" s="406"/>
      <c r="C91" s="407">
        <v>16.0</v>
      </c>
      <c r="D91" s="197"/>
      <c r="E91" s="5"/>
    </row>
    <row r="92" ht="15.75" customHeight="1">
      <c r="A92" s="403">
        <v>17.0</v>
      </c>
      <c r="B92" s="406"/>
      <c r="C92" s="405">
        <v>17.0</v>
      </c>
      <c r="D92" s="197"/>
      <c r="E92" s="5"/>
    </row>
    <row r="93" ht="15.75" customHeight="1">
      <c r="A93" s="240">
        <v>18.0</v>
      </c>
      <c r="B93" s="406"/>
      <c r="C93" s="407">
        <v>18.0</v>
      </c>
      <c r="D93" s="197"/>
      <c r="E93" s="5"/>
    </row>
    <row r="94" ht="15.75" customHeight="1">
      <c r="A94" s="403">
        <v>19.0</v>
      </c>
      <c r="B94" s="406"/>
      <c r="C94" s="405">
        <v>19.0</v>
      </c>
      <c r="D94" s="197"/>
      <c r="E94" s="5"/>
    </row>
    <row r="95" ht="15.75" customHeight="1">
      <c r="A95" s="240">
        <v>20.0</v>
      </c>
      <c r="B95" s="406"/>
      <c r="C95" s="407">
        <v>20.0</v>
      </c>
      <c r="D95" s="197"/>
      <c r="E95" s="5"/>
    </row>
    <row r="96" ht="15.75" customHeight="1">
      <c r="A96" s="403">
        <v>21.0</v>
      </c>
      <c r="B96" s="406"/>
      <c r="C96" s="405">
        <v>21.0</v>
      </c>
      <c r="D96" s="197"/>
      <c r="E96" s="5"/>
    </row>
    <row r="97" ht="15.75" customHeight="1">
      <c r="A97" s="240">
        <v>22.0</v>
      </c>
      <c r="B97" s="406"/>
      <c r="C97" s="407">
        <v>22.0</v>
      </c>
      <c r="D97" s="197"/>
      <c r="E97" s="5"/>
    </row>
    <row r="98" ht="15.75" customHeight="1">
      <c r="A98" s="403">
        <v>23.0</v>
      </c>
      <c r="B98" s="406"/>
      <c r="C98" s="405">
        <v>23.0</v>
      </c>
      <c r="D98" s="197"/>
      <c r="E98" s="5"/>
    </row>
    <row r="99" ht="15.75" customHeight="1">
      <c r="A99" s="240">
        <v>24.0</v>
      </c>
      <c r="B99" s="406"/>
      <c r="C99" s="412">
        <v>24.0</v>
      </c>
      <c r="D99" s="197"/>
      <c r="E99" s="5"/>
    </row>
    <row r="100" ht="15.75" customHeight="1">
      <c r="A100" s="403">
        <v>25.0</v>
      </c>
      <c r="B100" s="406"/>
      <c r="C100" s="405">
        <v>25.0</v>
      </c>
      <c r="D100" s="197"/>
      <c r="E100" s="5"/>
    </row>
    <row r="101" ht="15.75" customHeight="1">
      <c r="A101" s="240">
        <v>26.0</v>
      </c>
      <c r="B101" s="406"/>
      <c r="C101" s="412">
        <v>26.0</v>
      </c>
      <c r="D101" s="197"/>
      <c r="E101" s="5"/>
    </row>
    <row r="102" ht="15.75" customHeight="1">
      <c r="A102" s="403">
        <v>27.0</v>
      </c>
      <c r="B102" s="406"/>
      <c r="C102" s="405">
        <v>27.0</v>
      </c>
      <c r="D102" s="197"/>
      <c r="E102" s="5"/>
    </row>
    <row r="103" ht="15.75" customHeight="1">
      <c r="A103" s="240">
        <v>28.0</v>
      </c>
      <c r="B103" s="406"/>
      <c r="C103" s="412">
        <v>28.0</v>
      </c>
      <c r="D103" s="197"/>
      <c r="E103" s="5"/>
    </row>
    <row r="104" ht="15.75" customHeight="1">
      <c r="A104" s="403">
        <v>29.0</v>
      </c>
      <c r="B104" s="406"/>
      <c r="C104" s="405">
        <v>29.0</v>
      </c>
      <c r="D104" s="197"/>
      <c r="E104" s="5"/>
    </row>
    <row r="105" ht="15.75" customHeight="1">
      <c r="A105" s="240">
        <v>30.0</v>
      </c>
      <c r="B105" s="413"/>
      <c r="C105" s="407">
        <v>30.0</v>
      </c>
      <c r="D105" s="197"/>
      <c r="E105" s="5"/>
    </row>
    <row r="106" ht="15.75" customHeight="1">
      <c r="A106" s="403">
        <v>31.0</v>
      </c>
      <c r="B106" s="406"/>
      <c r="C106" s="405">
        <v>31.0</v>
      </c>
      <c r="D106" s="197"/>
      <c r="E106" s="5"/>
    </row>
    <row r="107" ht="15.75" customHeight="1">
      <c r="A107" s="240">
        <v>32.0</v>
      </c>
      <c r="B107" s="406"/>
      <c r="C107" s="407">
        <v>32.0</v>
      </c>
      <c r="D107" s="197"/>
      <c r="E107" s="5"/>
    </row>
    <row r="108" ht="15.75" customHeight="1">
      <c r="A108" s="403">
        <v>33.0</v>
      </c>
      <c r="B108" s="413"/>
      <c r="C108" s="415">
        <v>33.0</v>
      </c>
      <c r="D108" s="197"/>
      <c r="E108" s="5"/>
    </row>
    <row r="109" ht="15.75" customHeight="1">
      <c r="A109" s="240">
        <v>34.0</v>
      </c>
      <c r="B109" s="413"/>
      <c r="C109" s="412">
        <v>34.0</v>
      </c>
      <c r="D109" s="197"/>
      <c r="E109" s="5"/>
    </row>
    <row r="110" ht="15.75" customHeight="1">
      <c r="A110" s="403">
        <v>35.0</v>
      </c>
      <c r="B110" s="406"/>
      <c r="C110" s="415">
        <v>35.0</v>
      </c>
      <c r="D110" s="197"/>
      <c r="E110" s="5"/>
    </row>
    <row r="111" ht="15.75" customHeight="1">
      <c r="A111" s="240">
        <v>36.0</v>
      </c>
      <c r="B111" s="406"/>
      <c r="C111" s="412">
        <v>36.0</v>
      </c>
      <c r="D111" s="197"/>
      <c r="E111" s="5"/>
    </row>
    <row r="112" ht="15.75" customHeight="1">
      <c r="A112" s="403">
        <v>37.0</v>
      </c>
      <c r="B112" s="406"/>
      <c r="C112" s="415">
        <v>37.0</v>
      </c>
      <c r="D112" s="197"/>
      <c r="E112" s="5"/>
    </row>
    <row r="113" ht="15.75" customHeight="1">
      <c r="A113" s="240">
        <v>38.0</v>
      </c>
      <c r="B113" s="406"/>
      <c r="C113" s="412">
        <v>38.0</v>
      </c>
      <c r="D113" s="197"/>
      <c r="E113" s="5"/>
    </row>
    <row r="114" ht="15.75" customHeight="1">
      <c r="A114" s="403">
        <v>39.0</v>
      </c>
      <c r="B114" s="406"/>
      <c r="C114" s="415">
        <v>39.0</v>
      </c>
      <c r="D114" s="197"/>
      <c r="E114" s="5"/>
    </row>
    <row r="115" ht="15.75" customHeight="1">
      <c r="A115" s="240">
        <v>40.0</v>
      </c>
      <c r="B115" s="416"/>
      <c r="C115" s="412">
        <v>40.0</v>
      </c>
      <c r="D115" s="197"/>
      <c r="E115" s="5"/>
    </row>
    <row r="116" ht="15.75" customHeight="1">
      <c r="A116" s="403">
        <v>41.0</v>
      </c>
      <c r="B116" s="416"/>
      <c r="C116" s="415">
        <v>41.0</v>
      </c>
      <c r="D116" s="197"/>
      <c r="E116" s="5"/>
    </row>
    <row r="117" ht="15.75" customHeight="1">
      <c r="A117" s="240">
        <v>42.0</v>
      </c>
      <c r="B117" s="416"/>
      <c r="C117" s="412">
        <v>42.0</v>
      </c>
      <c r="D117" s="197"/>
      <c r="E117" s="5"/>
    </row>
    <row r="118" ht="15.75" customHeight="1">
      <c r="A118" s="403">
        <v>43.0</v>
      </c>
      <c r="B118" s="416"/>
      <c r="C118" s="415">
        <v>43.0</v>
      </c>
      <c r="D118" s="197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418" t="s">
        <v>302</v>
      </c>
    </row>
    <row r="121" ht="15.75" customHeight="1">
      <c r="A121" s="5"/>
      <c r="B121" s="5"/>
      <c r="C121" s="418" t="s">
        <v>304</v>
      </c>
    </row>
    <row r="122" ht="15.75" customHeight="1">
      <c r="A122" s="5"/>
      <c r="B122" s="5"/>
      <c r="C122" s="419"/>
      <c r="D122" s="420"/>
      <c r="E122" s="419"/>
    </row>
    <row r="123" ht="15.75" customHeight="1">
      <c r="A123" s="5"/>
      <c r="B123" s="5"/>
      <c r="C123" s="419"/>
      <c r="D123" s="420"/>
      <c r="E123" s="419"/>
    </row>
    <row r="124" ht="15.75" customHeight="1">
      <c r="A124" s="5"/>
      <c r="B124" s="5"/>
      <c r="C124" s="421" t="s">
        <v>307</v>
      </c>
    </row>
    <row r="125" ht="15.75" customHeight="1">
      <c r="A125" s="5"/>
      <c r="B125" s="5"/>
      <c r="C125" s="422" t="s">
        <v>308</v>
      </c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70:D70"/>
    <mergeCell ref="A71:D71"/>
    <mergeCell ref="A72:D72"/>
    <mergeCell ref="C120:E120"/>
    <mergeCell ref="C121:E121"/>
    <mergeCell ref="C124:E124"/>
    <mergeCell ref="C125:E125"/>
    <mergeCell ref="A1:D1"/>
    <mergeCell ref="A2:D2"/>
    <mergeCell ref="A3:D3"/>
    <mergeCell ref="C51:E51"/>
    <mergeCell ref="C52:E52"/>
    <mergeCell ref="C55:E55"/>
    <mergeCell ref="C56:E56"/>
  </mergeCells>
  <printOptions/>
  <pageMargins bottom="0.75" footer="0.0" header="0.0" left="0.7" right="0.7" top="0.75"/>
  <pageSetup paperSize="5" scale="8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4.43"/>
    <col customWidth="1" min="3" max="3" width="11.86"/>
    <col customWidth="1" min="4" max="4" width="11.29"/>
    <col customWidth="1" min="5" max="5" width="37.0"/>
    <col customWidth="1" min="6" max="26" width="8.71"/>
  </cols>
  <sheetData>
    <row r="1">
      <c r="A1" s="20" t="s">
        <v>1</v>
      </c>
      <c r="B1" s="20" t="s">
        <v>3</v>
      </c>
      <c r="C1" s="20" t="s">
        <v>5</v>
      </c>
      <c r="D1" s="26" t="s">
        <v>25</v>
      </c>
      <c r="E1" s="26" t="s">
        <v>28</v>
      </c>
    </row>
    <row r="2">
      <c r="A2" s="35"/>
      <c r="B2" s="35"/>
      <c r="C2" s="35"/>
      <c r="D2" s="26" t="s">
        <v>51</v>
      </c>
      <c r="E2" s="26" t="s">
        <v>52</v>
      </c>
    </row>
    <row r="3" ht="15.75" customHeight="1">
      <c r="A3" s="432">
        <v>1.0</v>
      </c>
      <c r="B3" s="433" t="s">
        <v>10</v>
      </c>
      <c r="C3" s="434" t="s">
        <v>12</v>
      </c>
      <c r="D3" s="435">
        <v>44835.0</v>
      </c>
      <c r="E3" s="436" t="s">
        <v>14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95">
        <v>2.0</v>
      </c>
      <c r="B4" s="342" t="s">
        <v>16</v>
      </c>
      <c r="C4" s="437" t="s">
        <v>18</v>
      </c>
      <c r="D4" s="438">
        <v>45017.0</v>
      </c>
      <c r="E4" s="333" t="s">
        <v>20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32">
        <v>3.0</v>
      </c>
      <c r="B5" s="342" t="s">
        <v>88</v>
      </c>
      <c r="C5" s="437" t="s">
        <v>26</v>
      </c>
      <c r="D5" s="438">
        <v>41548.0</v>
      </c>
      <c r="E5" s="333" t="s">
        <v>106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95">
        <v>4.0</v>
      </c>
      <c r="B6" s="342" t="s">
        <v>22</v>
      </c>
      <c r="C6" s="437" t="s">
        <v>26</v>
      </c>
      <c r="D6" s="438">
        <v>42278.0</v>
      </c>
      <c r="E6" s="333" t="s">
        <v>123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32">
        <v>5.0</v>
      </c>
      <c r="B7" s="342" t="s">
        <v>32</v>
      </c>
      <c r="C7" s="437" t="s">
        <v>26</v>
      </c>
      <c r="D7" s="438">
        <v>42644.0</v>
      </c>
      <c r="E7" s="333" t="s">
        <v>34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95">
        <v>6.0</v>
      </c>
      <c r="B8" s="342" t="s">
        <v>35</v>
      </c>
      <c r="C8" s="437" t="s">
        <v>26</v>
      </c>
      <c r="D8" s="438">
        <v>44470.0</v>
      </c>
      <c r="E8" s="333" t="s">
        <v>37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32">
        <v>7.0</v>
      </c>
      <c r="B9" s="342" t="s">
        <v>39</v>
      </c>
      <c r="C9" s="437" t="s">
        <v>26</v>
      </c>
      <c r="D9" s="438">
        <v>43922.0</v>
      </c>
      <c r="E9" s="333" t="s">
        <v>375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95">
        <v>8.0</v>
      </c>
      <c r="B10" s="342" t="s">
        <v>49</v>
      </c>
      <c r="C10" s="437" t="s">
        <v>116</v>
      </c>
      <c r="D10" s="438">
        <v>44470.0</v>
      </c>
      <c r="E10" s="333" t="s">
        <v>54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95">
        <v>9.0</v>
      </c>
      <c r="B11" s="342" t="s">
        <v>61</v>
      </c>
      <c r="C11" s="437" t="s">
        <v>63</v>
      </c>
      <c r="D11" s="438">
        <v>44652.0</v>
      </c>
      <c r="E11" s="333" t="s">
        <v>65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2">
        <v>10.0</v>
      </c>
      <c r="B12" s="342" t="s">
        <v>66</v>
      </c>
      <c r="C12" s="437" t="s">
        <v>160</v>
      </c>
      <c r="D12" s="438">
        <v>44621.0</v>
      </c>
      <c r="E12" s="333" t="s">
        <v>68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95">
        <v>11.0</v>
      </c>
      <c r="B13" s="342" t="s">
        <v>69</v>
      </c>
      <c r="C13" s="437" t="s">
        <v>140</v>
      </c>
      <c r="D13" s="438">
        <v>44470.0</v>
      </c>
      <c r="E13" s="333" t="s">
        <v>71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32">
        <v>12.0</v>
      </c>
      <c r="B14" s="342" t="s">
        <v>72</v>
      </c>
      <c r="C14" s="437" t="s">
        <v>140</v>
      </c>
      <c r="D14" s="438">
        <v>44470.0</v>
      </c>
      <c r="E14" s="333" t="s">
        <v>71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95">
        <v>13.0</v>
      </c>
      <c r="B15" s="342" t="s">
        <v>75</v>
      </c>
      <c r="C15" s="437" t="s">
        <v>140</v>
      </c>
      <c r="D15" s="438">
        <v>44470.0</v>
      </c>
      <c r="E15" s="333" t="s">
        <v>71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2">
        <v>14.0</v>
      </c>
      <c r="B16" s="342" t="s">
        <v>77</v>
      </c>
      <c r="C16" s="437" t="s">
        <v>140</v>
      </c>
      <c r="D16" s="438">
        <v>44470.0</v>
      </c>
      <c r="E16" s="333" t="s">
        <v>71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95">
        <v>15.0</v>
      </c>
      <c r="B17" s="399" t="s">
        <v>80</v>
      </c>
      <c r="C17" s="441" t="s">
        <v>157</v>
      </c>
      <c r="D17" s="442">
        <v>44835.0</v>
      </c>
      <c r="E17" s="443" t="s">
        <v>205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2">
        <v>16.0</v>
      </c>
      <c r="B18" s="342" t="s">
        <v>89</v>
      </c>
      <c r="C18" s="437" t="s">
        <v>140</v>
      </c>
      <c r="D18" s="438">
        <v>44835.0</v>
      </c>
      <c r="E18" s="333" t="s">
        <v>217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95">
        <v>17.0</v>
      </c>
      <c r="B19" s="342" t="s">
        <v>91</v>
      </c>
      <c r="C19" s="437" t="s">
        <v>63</v>
      </c>
      <c r="D19" s="438">
        <v>45200.0</v>
      </c>
      <c r="E19" s="333" t="s">
        <v>93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95">
        <v>18.0</v>
      </c>
      <c r="B20" s="342" t="s">
        <v>95</v>
      </c>
      <c r="C20" s="437" t="s">
        <v>98</v>
      </c>
      <c r="D20" s="438">
        <v>44652.0</v>
      </c>
      <c r="E20" s="333" t="s">
        <v>221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2">
        <v>19.0</v>
      </c>
      <c r="B21" s="342" t="s">
        <v>101</v>
      </c>
      <c r="C21" s="437" t="s">
        <v>187</v>
      </c>
      <c r="D21" s="438">
        <v>44835.0</v>
      </c>
      <c r="E21" s="333" t="s">
        <v>105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95">
        <v>20.0</v>
      </c>
      <c r="B22" s="342" t="s">
        <v>107</v>
      </c>
      <c r="C22" s="437" t="s">
        <v>228</v>
      </c>
      <c r="D22" s="438">
        <v>44166.0</v>
      </c>
      <c r="E22" s="333" t="s">
        <v>105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2">
        <v>21.0</v>
      </c>
      <c r="B23" s="342" t="s">
        <v>110</v>
      </c>
      <c r="C23" s="437" t="s">
        <v>228</v>
      </c>
      <c r="D23" s="438">
        <v>44166.0</v>
      </c>
      <c r="E23" s="333" t="s">
        <v>114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95">
        <v>22.0</v>
      </c>
      <c r="B24" s="433" t="s">
        <v>115</v>
      </c>
      <c r="C24" s="434" t="s">
        <v>236</v>
      </c>
      <c r="D24" s="435">
        <v>44562.0</v>
      </c>
      <c r="E24" s="436" t="s">
        <v>120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2">
        <v>23.0</v>
      </c>
      <c r="B25" s="342" t="s">
        <v>121</v>
      </c>
      <c r="C25" s="437" t="s">
        <v>236</v>
      </c>
      <c r="D25" s="437" t="s">
        <v>82</v>
      </c>
      <c r="E25" s="436" t="s">
        <v>120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2">
        <v>24.0</v>
      </c>
      <c r="B26" s="448" t="s">
        <v>127</v>
      </c>
      <c r="C26" s="434" t="s">
        <v>82</v>
      </c>
      <c r="D26" s="434" t="s">
        <v>82</v>
      </c>
      <c r="E26" s="450" t="s">
        <v>249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95">
        <v>25.0</v>
      </c>
      <c r="B27" s="342" t="s">
        <v>132</v>
      </c>
      <c r="C27" s="437" t="s">
        <v>82</v>
      </c>
      <c r="D27" s="437" t="s">
        <v>82</v>
      </c>
      <c r="E27" s="451" t="s">
        <v>254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2">
        <v>26.0</v>
      </c>
      <c r="B28" s="342" t="s">
        <v>138</v>
      </c>
      <c r="C28" s="437" t="s">
        <v>82</v>
      </c>
      <c r="D28" s="437" t="s">
        <v>82</v>
      </c>
      <c r="E28" s="451" t="s">
        <v>249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95">
        <v>27.0</v>
      </c>
      <c r="B29" s="342" t="s">
        <v>143</v>
      </c>
      <c r="C29" s="437" t="s">
        <v>82</v>
      </c>
      <c r="D29" s="437" t="s">
        <v>82</v>
      </c>
      <c r="E29" s="451" t="s">
        <v>249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2">
        <v>28.0</v>
      </c>
      <c r="B30" s="340" t="s">
        <v>262</v>
      </c>
      <c r="C30" s="437" t="s">
        <v>82</v>
      </c>
      <c r="D30" s="437" t="s">
        <v>82</v>
      </c>
      <c r="E30" s="451" t="s">
        <v>264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95">
        <v>29.0</v>
      </c>
      <c r="B31" s="340" t="s">
        <v>146</v>
      </c>
      <c r="C31" s="437" t="s">
        <v>82</v>
      </c>
      <c r="D31" s="437" t="s">
        <v>82</v>
      </c>
      <c r="E31" s="451" t="s">
        <v>267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2">
        <v>30.0</v>
      </c>
      <c r="B32" s="342" t="s">
        <v>151</v>
      </c>
      <c r="C32" s="437" t="s">
        <v>82</v>
      </c>
      <c r="D32" s="437" t="s">
        <v>82</v>
      </c>
      <c r="E32" s="451" t="s">
        <v>154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95">
        <v>31.0</v>
      </c>
      <c r="B33" s="342" t="s">
        <v>158</v>
      </c>
      <c r="C33" s="437" t="s">
        <v>82</v>
      </c>
      <c r="D33" s="437" t="s">
        <v>82</v>
      </c>
      <c r="E33" s="451" t="s">
        <v>154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2">
        <v>32.0</v>
      </c>
      <c r="B34" s="342" t="s">
        <v>278</v>
      </c>
      <c r="C34" s="437" t="s">
        <v>82</v>
      </c>
      <c r="D34" s="437" t="s">
        <v>82</v>
      </c>
      <c r="E34" s="451" t="s">
        <v>280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95">
        <v>33.0</v>
      </c>
      <c r="B35" s="342" t="s">
        <v>162</v>
      </c>
      <c r="C35" s="437" t="s">
        <v>82</v>
      </c>
      <c r="D35" s="437" t="s">
        <v>82</v>
      </c>
      <c r="E35" s="451" t="s">
        <v>283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95">
        <v>34.0</v>
      </c>
      <c r="B36" s="342" t="s">
        <v>166</v>
      </c>
      <c r="C36" s="437" t="s">
        <v>82</v>
      </c>
      <c r="D36" s="437" t="s">
        <v>82</v>
      </c>
      <c r="E36" s="333" t="s">
        <v>287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95">
        <v>35.0</v>
      </c>
      <c r="B37" s="348" t="s">
        <v>169</v>
      </c>
      <c r="C37" s="437" t="s">
        <v>82</v>
      </c>
      <c r="D37" s="437" t="s">
        <v>82</v>
      </c>
      <c r="E37" s="333" t="s">
        <v>289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2">
        <v>36.0</v>
      </c>
      <c r="B38" s="348" t="s">
        <v>172</v>
      </c>
      <c r="C38" s="437" t="s">
        <v>82</v>
      </c>
      <c r="D38" s="437" t="s">
        <v>82</v>
      </c>
      <c r="E38" s="333" t="s">
        <v>249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95">
        <v>37.0</v>
      </c>
      <c r="B39" s="452" t="s">
        <v>1041</v>
      </c>
      <c r="C39" s="453" t="s">
        <v>82</v>
      </c>
      <c r="D39" s="453" t="s">
        <v>82</v>
      </c>
      <c r="E39" s="454" t="s">
        <v>296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2">
        <v>38.0</v>
      </c>
      <c r="B40" s="348" t="s">
        <v>181</v>
      </c>
      <c r="C40" s="437" t="s">
        <v>82</v>
      </c>
      <c r="D40" s="437" t="s">
        <v>82</v>
      </c>
      <c r="E40" s="455" t="s">
        <v>183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C1:C2"/>
  </mergeCells>
  <printOptions/>
  <pageMargins bottom="0.75" footer="0.0" header="0.0" left="0.7" right="0.7" top="0.75"/>
  <pageSetup paperSize="9" scale="78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1.0"/>
    <col customWidth="1" min="3" max="3" width="42.14"/>
    <col customWidth="1" min="4" max="4" width="25.86"/>
    <col customWidth="1" min="5" max="5" width="19.43"/>
    <col customWidth="1" min="6" max="6" width="21.86"/>
    <col customWidth="1" min="7" max="7" width="14.57"/>
    <col customWidth="1" min="8" max="8" width="25.86"/>
    <col customWidth="1" min="9" max="9" width="26.0"/>
    <col customWidth="1" min="10" max="10" width="25.86"/>
    <col customWidth="1" min="11" max="11" width="30.29"/>
    <col customWidth="1" min="12" max="12" width="14.0"/>
    <col customWidth="1" min="13" max="26" width="8.71"/>
  </cols>
  <sheetData>
    <row r="1">
      <c r="A1" s="390" t="s">
        <v>957</v>
      </c>
      <c r="B1" s="390" t="s">
        <v>19</v>
      </c>
      <c r="C1" s="390" t="s">
        <v>19</v>
      </c>
      <c r="D1" s="390" t="s">
        <v>345</v>
      </c>
      <c r="E1" s="390" t="s">
        <v>958</v>
      </c>
      <c r="F1" s="390" t="s">
        <v>346</v>
      </c>
      <c r="G1" s="390" t="s">
        <v>959</v>
      </c>
      <c r="H1" s="390" t="s">
        <v>960</v>
      </c>
      <c r="I1" s="390" t="s">
        <v>961</v>
      </c>
      <c r="J1" s="390" t="s">
        <v>962</v>
      </c>
      <c r="K1" s="390" t="s">
        <v>351</v>
      </c>
      <c r="L1" s="390" t="s">
        <v>963</v>
      </c>
    </row>
    <row r="2">
      <c r="A2" s="331">
        <v>1.0</v>
      </c>
      <c r="B2" s="175" t="s">
        <v>964</v>
      </c>
      <c r="C2" s="175" t="s">
        <v>498</v>
      </c>
      <c r="D2" s="175" t="s">
        <v>965</v>
      </c>
      <c r="E2" s="175" t="s">
        <v>13</v>
      </c>
      <c r="F2" s="175" t="s">
        <v>34</v>
      </c>
      <c r="G2" s="175" t="s">
        <v>966</v>
      </c>
      <c r="H2" s="175" t="s">
        <v>967</v>
      </c>
      <c r="I2" s="322" t="s">
        <v>968</v>
      </c>
      <c r="J2" s="175" t="s">
        <v>969</v>
      </c>
      <c r="K2" s="175" t="s">
        <v>371</v>
      </c>
      <c r="L2" s="439">
        <v>43360.0</v>
      </c>
    </row>
    <row r="3">
      <c r="A3" s="331">
        <v>2.0</v>
      </c>
      <c r="B3" s="175" t="s">
        <v>964</v>
      </c>
      <c r="C3" s="175" t="s">
        <v>970</v>
      </c>
      <c r="D3" s="175" t="s">
        <v>971</v>
      </c>
      <c r="E3" s="175" t="s">
        <v>13</v>
      </c>
      <c r="F3" s="175" t="s">
        <v>123</v>
      </c>
      <c r="G3" s="175" t="s">
        <v>972</v>
      </c>
      <c r="H3" s="175" t="s">
        <v>973</v>
      </c>
      <c r="I3" s="322" t="s">
        <v>974</v>
      </c>
      <c r="K3" s="175" t="s">
        <v>975</v>
      </c>
      <c r="L3" s="440">
        <v>44811.0</v>
      </c>
    </row>
    <row r="4">
      <c r="A4" s="331">
        <v>3.0</v>
      </c>
      <c r="B4" s="5" t="s">
        <v>964</v>
      </c>
      <c r="C4" s="175" t="s">
        <v>976</v>
      </c>
      <c r="D4" s="175" t="s">
        <v>977</v>
      </c>
      <c r="E4" s="175" t="s">
        <v>13</v>
      </c>
      <c r="F4" s="175" t="s">
        <v>978</v>
      </c>
      <c r="G4" s="5" t="s">
        <v>966</v>
      </c>
      <c r="H4" s="5" t="s">
        <v>979</v>
      </c>
      <c r="I4" s="322" t="s">
        <v>980</v>
      </c>
      <c r="J4" s="5" t="s">
        <v>981</v>
      </c>
      <c r="K4" s="5" t="s">
        <v>380</v>
      </c>
      <c r="L4" s="440">
        <v>44117.0</v>
      </c>
    </row>
    <row r="5">
      <c r="A5" s="331">
        <v>4.0</v>
      </c>
      <c r="B5" s="5" t="s">
        <v>964</v>
      </c>
      <c r="C5" s="175" t="s">
        <v>982</v>
      </c>
      <c r="D5" s="175" t="s">
        <v>983</v>
      </c>
      <c r="E5" s="5" t="s">
        <v>13</v>
      </c>
      <c r="F5" s="5" t="s">
        <v>71</v>
      </c>
      <c r="G5" s="5" t="s">
        <v>966</v>
      </c>
      <c r="H5" s="5" t="s">
        <v>984</v>
      </c>
      <c r="I5" s="322" t="s">
        <v>985</v>
      </c>
      <c r="K5" s="5" t="s">
        <v>986</v>
      </c>
      <c r="L5" s="440">
        <v>44928.0</v>
      </c>
    </row>
    <row r="6">
      <c r="A6" s="331">
        <v>5.0</v>
      </c>
      <c r="B6" s="5" t="s">
        <v>964</v>
      </c>
      <c r="C6" s="175" t="s">
        <v>638</v>
      </c>
      <c r="D6" s="5" t="s">
        <v>983</v>
      </c>
      <c r="E6" s="5" t="s">
        <v>13</v>
      </c>
      <c r="F6" s="5" t="s">
        <v>987</v>
      </c>
      <c r="G6" s="5" t="s">
        <v>966</v>
      </c>
      <c r="H6" s="5" t="s">
        <v>984</v>
      </c>
      <c r="I6" s="322" t="s">
        <v>988</v>
      </c>
      <c r="J6" s="5" t="s">
        <v>989</v>
      </c>
      <c r="K6" s="5" t="s">
        <v>990</v>
      </c>
      <c r="L6" s="440">
        <v>42257.0</v>
      </c>
    </row>
    <row r="7">
      <c r="A7" s="331">
        <v>6.0</v>
      </c>
      <c r="B7" s="5" t="s">
        <v>964</v>
      </c>
      <c r="C7" s="175" t="s">
        <v>991</v>
      </c>
      <c r="D7" s="5" t="s">
        <v>983</v>
      </c>
      <c r="E7" s="5" t="s">
        <v>119</v>
      </c>
      <c r="F7" s="5" t="s">
        <v>992</v>
      </c>
      <c r="G7" s="5" t="s">
        <v>966</v>
      </c>
      <c r="H7" s="5" t="s">
        <v>984</v>
      </c>
      <c r="I7" s="322" t="s">
        <v>993</v>
      </c>
      <c r="K7" s="5" t="s">
        <v>994</v>
      </c>
      <c r="L7" s="440">
        <v>43661.0</v>
      </c>
    </row>
    <row r="8">
      <c r="A8" s="331">
        <v>7.0</v>
      </c>
      <c r="B8" s="5" t="s">
        <v>964</v>
      </c>
      <c r="C8" s="175" t="s">
        <v>995</v>
      </c>
      <c r="D8" s="5" t="s">
        <v>996</v>
      </c>
      <c r="E8" s="5" t="s">
        <v>13</v>
      </c>
      <c r="F8" s="5" t="s">
        <v>992</v>
      </c>
      <c r="G8" s="5" t="s">
        <v>966</v>
      </c>
      <c r="H8" s="5" t="s">
        <v>973</v>
      </c>
      <c r="I8" s="322" t="s">
        <v>997</v>
      </c>
      <c r="K8" s="5" t="s">
        <v>998</v>
      </c>
      <c r="L8" s="440">
        <v>42769.0</v>
      </c>
    </row>
    <row r="9">
      <c r="A9" s="331">
        <v>8.0</v>
      </c>
      <c r="B9" s="5" t="s">
        <v>964</v>
      </c>
      <c r="C9" s="175" t="s">
        <v>1000</v>
      </c>
      <c r="D9" s="5" t="s">
        <v>1001</v>
      </c>
      <c r="E9" s="5" t="s">
        <v>1002</v>
      </c>
      <c r="F9" s="5" t="s">
        <v>992</v>
      </c>
      <c r="G9" s="5" t="s">
        <v>966</v>
      </c>
      <c r="H9" s="5" t="s">
        <v>984</v>
      </c>
      <c r="I9" s="322" t="s">
        <v>1003</v>
      </c>
      <c r="K9" s="5" t="s">
        <v>1004</v>
      </c>
      <c r="L9" s="440">
        <v>45411.0</v>
      </c>
    </row>
    <row r="10">
      <c r="A10" s="331">
        <v>9.0</v>
      </c>
      <c r="B10" s="5" t="s">
        <v>964</v>
      </c>
      <c r="C10" s="175" t="s">
        <v>1005</v>
      </c>
      <c r="D10" s="5" t="s">
        <v>1006</v>
      </c>
      <c r="E10" s="5" t="s">
        <v>13</v>
      </c>
      <c r="F10" s="5" t="s">
        <v>375</v>
      </c>
      <c r="G10" s="5" t="s">
        <v>972</v>
      </c>
      <c r="H10" s="5" t="s">
        <v>1007</v>
      </c>
      <c r="I10" s="5" t="s">
        <v>1008</v>
      </c>
      <c r="J10" s="5" t="s">
        <v>1009</v>
      </c>
      <c r="K10" s="5" t="s">
        <v>1010</v>
      </c>
      <c r="L10" s="440">
        <v>44460.0</v>
      </c>
    </row>
    <row r="11">
      <c r="A11" s="331">
        <v>10.0</v>
      </c>
      <c r="B11" s="5" t="s">
        <v>964</v>
      </c>
      <c r="C11" s="175" t="s">
        <v>1011</v>
      </c>
      <c r="D11" s="5" t="s">
        <v>996</v>
      </c>
      <c r="E11" s="5" t="s">
        <v>13</v>
      </c>
      <c r="F11" s="5" t="s">
        <v>1012</v>
      </c>
      <c r="G11" s="5" t="s">
        <v>966</v>
      </c>
      <c r="H11" s="5" t="s">
        <v>973</v>
      </c>
      <c r="I11" s="322" t="s">
        <v>1013</v>
      </c>
      <c r="J11" s="5" t="s">
        <v>1014</v>
      </c>
      <c r="K11" s="5" t="s">
        <v>1015</v>
      </c>
      <c r="L11" s="440">
        <v>44217.0</v>
      </c>
    </row>
    <row r="12">
      <c r="A12" s="331">
        <v>11.0</v>
      </c>
      <c r="B12" s="5" t="s">
        <v>964</v>
      </c>
      <c r="C12" s="175" t="s">
        <v>1016</v>
      </c>
      <c r="D12" s="5" t="s">
        <v>1017</v>
      </c>
      <c r="E12" s="5" t="s">
        <v>13</v>
      </c>
      <c r="F12" s="5" t="s">
        <v>1018</v>
      </c>
      <c r="G12" s="5" t="s">
        <v>966</v>
      </c>
      <c r="H12" s="5" t="s">
        <v>1019</v>
      </c>
      <c r="I12" s="322" t="s">
        <v>1020</v>
      </c>
      <c r="J12" s="5" t="s">
        <v>1021</v>
      </c>
      <c r="K12" s="5" t="s">
        <v>1022</v>
      </c>
      <c r="L12" s="440">
        <v>44207.0</v>
      </c>
    </row>
    <row r="13">
      <c r="A13" s="331">
        <v>12.0</v>
      </c>
      <c r="B13" s="5" t="s">
        <v>964</v>
      </c>
      <c r="C13" s="175" t="s">
        <v>1023</v>
      </c>
      <c r="D13" s="5" t="s">
        <v>983</v>
      </c>
      <c r="E13" s="5" t="s">
        <v>119</v>
      </c>
      <c r="F13" s="5" t="s">
        <v>992</v>
      </c>
      <c r="G13" s="5" t="s">
        <v>966</v>
      </c>
      <c r="H13" s="175" t="s">
        <v>1024</v>
      </c>
      <c r="I13" s="322" t="s">
        <v>1025</v>
      </c>
      <c r="J13" s="5" t="s">
        <v>1026</v>
      </c>
      <c r="K13" s="5" t="s">
        <v>448</v>
      </c>
      <c r="L13" s="440">
        <v>25569.0</v>
      </c>
    </row>
    <row r="14">
      <c r="A14" s="331">
        <v>13.0</v>
      </c>
      <c r="B14" s="5" t="s">
        <v>964</v>
      </c>
      <c r="C14" s="175" t="s">
        <v>1027</v>
      </c>
      <c r="D14" s="5" t="s">
        <v>1028</v>
      </c>
      <c r="E14" s="5" t="s">
        <v>13</v>
      </c>
      <c r="F14" s="5" t="s">
        <v>992</v>
      </c>
      <c r="G14" s="5" t="s">
        <v>972</v>
      </c>
      <c r="H14" s="5" t="s">
        <v>1029</v>
      </c>
      <c r="I14" s="322" t="s">
        <v>1030</v>
      </c>
      <c r="K14" s="5" t="s">
        <v>396</v>
      </c>
      <c r="L14" s="440">
        <v>44671.0</v>
      </c>
    </row>
    <row r="15">
      <c r="A15" s="331">
        <v>14.0</v>
      </c>
      <c r="B15" s="5" t="s">
        <v>964</v>
      </c>
      <c r="C15" s="175" t="s">
        <v>1031</v>
      </c>
      <c r="D15" s="5" t="s">
        <v>965</v>
      </c>
      <c r="E15" s="5" t="s">
        <v>1002</v>
      </c>
      <c r="F15" s="5" t="s">
        <v>992</v>
      </c>
      <c r="G15" s="5" t="s">
        <v>966</v>
      </c>
      <c r="H15" s="5" t="s">
        <v>967</v>
      </c>
      <c r="I15" s="322" t="s">
        <v>1032</v>
      </c>
      <c r="K15" s="175" t="s">
        <v>487</v>
      </c>
      <c r="L15" s="440">
        <v>43644.0</v>
      </c>
    </row>
    <row r="16">
      <c r="A16" s="331">
        <v>15.0</v>
      </c>
      <c r="B16" s="5" t="s">
        <v>964</v>
      </c>
      <c r="C16" s="175" t="s">
        <v>1033</v>
      </c>
      <c r="D16" s="175" t="s">
        <v>1028</v>
      </c>
      <c r="E16" s="5" t="s">
        <v>119</v>
      </c>
      <c r="F16" s="5" t="s">
        <v>992</v>
      </c>
      <c r="G16" s="5" t="s">
        <v>972</v>
      </c>
      <c r="H16" s="5" t="s">
        <v>1029</v>
      </c>
      <c r="I16" s="322" t="s">
        <v>1034</v>
      </c>
      <c r="K16" s="175" t="s">
        <v>1035</v>
      </c>
      <c r="L16" s="440">
        <v>45420.0</v>
      </c>
    </row>
    <row r="17">
      <c r="A17" s="331">
        <v>16.0</v>
      </c>
      <c r="B17" s="5" t="s">
        <v>964</v>
      </c>
      <c r="C17" s="175" t="s">
        <v>195</v>
      </c>
      <c r="D17" s="5" t="s">
        <v>983</v>
      </c>
      <c r="E17" s="5" t="s">
        <v>13</v>
      </c>
      <c r="F17" s="5" t="s">
        <v>992</v>
      </c>
      <c r="G17" s="5" t="s">
        <v>966</v>
      </c>
      <c r="H17" s="5" t="s">
        <v>1024</v>
      </c>
      <c r="I17" s="322" t="s">
        <v>1037</v>
      </c>
      <c r="K17" s="175" t="s">
        <v>1038</v>
      </c>
      <c r="L17" s="440">
        <v>44020.0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5.57"/>
    <col customWidth="1" min="3" max="3" width="21.0"/>
    <col customWidth="1" min="4" max="26" width="8.71"/>
  </cols>
  <sheetData>
    <row r="2">
      <c r="A2" s="169" t="s">
        <v>1</v>
      </c>
      <c r="B2" s="169" t="s">
        <v>3</v>
      </c>
      <c r="C2" s="169" t="s">
        <v>1042</v>
      </c>
    </row>
    <row r="3">
      <c r="A3" s="46">
        <v>1.0</v>
      </c>
      <c r="B3" s="17" t="s">
        <v>10</v>
      </c>
      <c r="C3" s="60" t="s">
        <v>11</v>
      </c>
    </row>
    <row r="4">
      <c r="A4" s="46">
        <v>2.0</v>
      </c>
      <c r="B4" s="17" t="s">
        <v>16</v>
      </c>
      <c r="C4" s="62" t="s">
        <v>17</v>
      </c>
    </row>
    <row r="5">
      <c r="A5" s="46">
        <v>3.0</v>
      </c>
      <c r="B5" s="17" t="s">
        <v>88</v>
      </c>
      <c r="C5" s="60" t="s">
        <v>103</v>
      </c>
    </row>
    <row r="6">
      <c r="A6" s="46">
        <v>4.0</v>
      </c>
      <c r="B6" s="17" t="s">
        <v>22</v>
      </c>
      <c r="C6" s="60" t="s">
        <v>24</v>
      </c>
    </row>
    <row r="7">
      <c r="A7" s="46">
        <v>5.0</v>
      </c>
      <c r="B7" s="17" t="s">
        <v>32</v>
      </c>
      <c r="C7" s="60" t="s">
        <v>33</v>
      </c>
    </row>
    <row r="8">
      <c r="A8" s="46">
        <v>6.0</v>
      </c>
      <c r="B8" s="17" t="s">
        <v>35</v>
      </c>
      <c r="C8" s="60" t="s">
        <v>36</v>
      </c>
    </row>
    <row r="9">
      <c r="A9" s="46">
        <v>7.0</v>
      </c>
      <c r="B9" s="17" t="s">
        <v>39</v>
      </c>
      <c r="C9" s="60" t="s">
        <v>40</v>
      </c>
    </row>
    <row r="10">
      <c r="A10" s="46">
        <v>8.0</v>
      </c>
      <c r="B10" s="17" t="s">
        <v>49</v>
      </c>
      <c r="C10" s="60" t="s">
        <v>50</v>
      </c>
    </row>
    <row r="11">
      <c r="A11" s="363">
        <v>9.0</v>
      </c>
      <c r="B11" s="364" t="s">
        <v>382</v>
      </c>
      <c r="C11" s="456" t="s">
        <v>386</v>
      </c>
    </row>
    <row r="12">
      <c r="A12" s="46">
        <v>10.0</v>
      </c>
      <c r="B12" s="17" t="s">
        <v>61</v>
      </c>
      <c r="C12" s="60" t="s">
        <v>62</v>
      </c>
    </row>
    <row r="13">
      <c r="A13" s="46">
        <v>11.0</v>
      </c>
      <c r="B13" s="17" t="s">
        <v>66</v>
      </c>
      <c r="C13" s="60" t="s">
        <v>67</v>
      </c>
    </row>
    <row r="14">
      <c r="A14" s="46">
        <v>12.0</v>
      </c>
      <c r="B14" s="17" t="s">
        <v>69</v>
      </c>
      <c r="C14" s="60" t="s">
        <v>70</v>
      </c>
    </row>
    <row r="15">
      <c r="A15" s="46">
        <v>13.0</v>
      </c>
      <c r="B15" s="17" t="s">
        <v>72</v>
      </c>
      <c r="C15" s="60" t="s">
        <v>73</v>
      </c>
    </row>
    <row r="16">
      <c r="A16" s="46">
        <v>14.0</v>
      </c>
      <c r="B16" s="17" t="s">
        <v>75</v>
      </c>
      <c r="C16" s="60" t="s">
        <v>76</v>
      </c>
    </row>
    <row r="17">
      <c r="A17" s="46">
        <v>15.0</v>
      </c>
      <c r="B17" s="17" t="s">
        <v>77</v>
      </c>
      <c r="C17" s="60" t="s">
        <v>78</v>
      </c>
    </row>
    <row r="18">
      <c r="A18" s="46">
        <v>16.0</v>
      </c>
      <c r="B18" s="52" t="s">
        <v>80</v>
      </c>
      <c r="C18" s="83" t="s">
        <v>81</v>
      </c>
    </row>
    <row r="19">
      <c r="A19" s="46">
        <v>17.0</v>
      </c>
      <c r="B19" s="17" t="s">
        <v>89</v>
      </c>
      <c r="C19" s="60" t="s">
        <v>90</v>
      </c>
    </row>
    <row r="20">
      <c r="A20" s="46">
        <v>18.0</v>
      </c>
      <c r="B20" s="17" t="s">
        <v>91</v>
      </c>
      <c r="C20" s="60" t="s">
        <v>92</v>
      </c>
    </row>
    <row r="21" ht="15.75" customHeight="1">
      <c r="A21" s="363">
        <v>19.0</v>
      </c>
      <c r="B21" s="364" t="s">
        <v>424</v>
      </c>
      <c r="C21" s="456" t="s">
        <v>426</v>
      </c>
    </row>
    <row r="22" ht="15.75" customHeight="1">
      <c r="A22" s="46">
        <v>20.0</v>
      </c>
      <c r="B22" s="17" t="s">
        <v>95</v>
      </c>
      <c r="C22" s="60" t="s">
        <v>96</v>
      </c>
    </row>
    <row r="23" ht="15.75" customHeight="1">
      <c r="A23" s="46">
        <v>21.0</v>
      </c>
      <c r="B23" s="17" t="s">
        <v>101</v>
      </c>
      <c r="C23" s="60" t="s">
        <v>102</v>
      </c>
    </row>
    <row r="24" ht="15.75" customHeight="1">
      <c r="A24" s="46">
        <v>22.0</v>
      </c>
      <c r="B24" s="17" t="s">
        <v>107</v>
      </c>
      <c r="C24" s="60" t="s">
        <v>108</v>
      </c>
    </row>
    <row r="25" ht="15.75" customHeight="1">
      <c r="A25" s="46">
        <v>23.0</v>
      </c>
      <c r="B25" s="17" t="s">
        <v>110</v>
      </c>
      <c r="C25" s="60" t="s">
        <v>112</v>
      </c>
    </row>
    <row r="26" ht="15.75" customHeight="1">
      <c r="A26" s="46">
        <v>24.0</v>
      </c>
      <c r="B26" s="17" t="s">
        <v>115</v>
      </c>
      <c r="C26" s="60" t="s">
        <v>117</v>
      </c>
    </row>
    <row r="27" ht="15.75" customHeight="1">
      <c r="A27" s="46">
        <v>25.0</v>
      </c>
      <c r="B27" s="17" t="s">
        <v>121</v>
      </c>
      <c r="C27" s="62" t="s">
        <v>122</v>
      </c>
    </row>
    <row r="28" ht="15.75" customHeight="1">
      <c r="A28" s="46">
        <v>26.0</v>
      </c>
      <c r="B28" s="75" t="s">
        <v>127</v>
      </c>
      <c r="C28" s="123" t="s">
        <v>128</v>
      </c>
    </row>
    <row r="29" ht="15.75" customHeight="1">
      <c r="A29" s="46">
        <v>27.0</v>
      </c>
      <c r="B29" s="17" t="s">
        <v>132</v>
      </c>
      <c r="C29" s="69" t="s">
        <v>133</v>
      </c>
    </row>
    <row r="30" ht="15.75" customHeight="1">
      <c r="A30" s="46">
        <v>28.0</v>
      </c>
      <c r="B30" s="17" t="s">
        <v>138</v>
      </c>
      <c r="C30" s="69" t="s">
        <v>139</v>
      </c>
    </row>
    <row r="31" ht="15.75" customHeight="1">
      <c r="A31" s="46">
        <v>29.0</v>
      </c>
      <c r="B31" s="17" t="s">
        <v>143</v>
      </c>
      <c r="C31" s="25" t="s">
        <v>338</v>
      </c>
    </row>
    <row r="32" ht="15.75" customHeight="1">
      <c r="A32" s="46">
        <v>30.0</v>
      </c>
      <c r="B32" s="75" t="s">
        <v>262</v>
      </c>
      <c r="C32" s="122" t="s">
        <v>263</v>
      </c>
    </row>
    <row r="33" ht="15.75" customHeight="1">
      <c r="A33" s="46">
        <v>31.0</v>
      </c>
      <c r="B33" s="75" t="s">
        <v>146</v>
      </c>
      <c r="C33" s="123" t="s">
        <v>148</v>
      </c>
    </row>
    <row r="34" ht="15.75" customHeight="1">
      <c r="A34" s="46">
        <v>32.0</v>
      </c>
      <c r="B34" s="17" t="s">
        <v>151</v>
      </c>
      <c r="C34" s="69" t="s">
        <v>152</v>
      </c>
    </row>
    <row r="35" ht="15.75" customHeight="1">
      <c r="A35" s="46">
        <v>33.0</v>
      </c>
      <c r="B35" s="17" t="s">
        <v>158</v>
      </c>
      <c r="C35" s="69" t="s">
        <v>159</v>
      </c>
    </row>
    <row r="36" ht="15.75" customHeight="1">
      <c r="A36" s="46">
        <v>34.0</v>
      </c>
      <c r="B36" s="17" t="s">
        <v>278</v>
      </c>
      <c r="C36" s="25" t="s">
        <v>279</v>
      </c>
    </row>
    <row r="37" ht="15.75" customHeight="1">
      <c r="A37" s="46">
        <v>35.0</v>
      </c>
      <c r="B37" s="17" t="s">
        <v>162</v>
      </c>
      <c r="C37" s="69" t="s">
        <v>163</v>
      </c>
    </row>
    <row r="38" ht="15.75" customHeight="1">
      <c r="A38" s="363">
        <v>36.0</v>
      </c>
      <c r="B38" s="364" t="s">
        <v>516</v>
      </c>
      <c r="C38" s="457" t="s">
        <v>517</v>
      </c>
    </row>
    <row r="39" ht="15.75" customHeight="1">
      <c r="A39" s="46">
        <v>37.0</v>
      </c>
      <c r="B39" s="17" t="s">
        <v>166</v>
      </c>
      <c r="C39" s="62" t="s">
        <v>167</v>
      </c>
    </row>
    <row r="40" ht="15.75" customHeight="1">
      <c r="A40" s="46">
        <v>38.0</v>
      </c>
      <c r="B40" s="21" t="s">
        <v>169</v>
      </c>
      <c r="C40" s="62" t="s">
        <v>170</v>
      </c>
    </row>
    <row r="41" ht="15.75" customHeight="1">
      <c r="A41" s="46">
        <v>39.0</v>
      </c>
      <c r="B41" s="21" t="s">
        <v>172</v>
      </c>
      <c r="C41" s="62" t="s">
        <v>173</v>
      </c>
    </row>
    <row r="42" ht="15.75" customHeight="1">
      <c r="A42" s="46">
        <v>40.0</v>
      </c>
      <c r="B42" s="21" t="s">
        <v>547</v>
      </c>
      <c r="C42" s="62" t="s">
        <v>178</v>
      </c>
    </row>
    <row r="43" ht="15.75" customHeight="1">
      <c r="A43" s="46">
        <v>41.0</v>
      </c>
      <c r="B43" s="21" t="s">
        <v>181</v>
      </c>
      <c r="C43" s="78" t="s">
        <v>182</v>
      </c>
    </row>
    <row r="44" ht="15.75" customHeight="1">
      <c r="A44" s="46">
        <v>42.0</v>
      </c>
      <c r="B44" s="17" t="s">
        <v>331</v>
      </c>
      <c r="C44" s="62" t="s">
        <v>189</v>
      </c>
    </row>
    <row r="45" ht="15.75" customHeight="1">
      <c r="A45" s="46">
        <v>43.0</v>
      </c>
      <c r="B45" s="17" t="s">
        <v>333</v>
      </c>
      <c r="C45" s="62" t="s">
        <v>186</v>
      </c>
    </row>
    <row r="46" ht="15.75" customHeight="1">
      <c r="A46" s="46">
        <v>44.0</v>
      </c>
      <c r="B46" s="17" t="s">
        <v>334</v>
      </c>
      <c r="C46" s="62" t="s">
        <v>197</v>
      </c>
    </row>
    <row r="47" ht="15.75" customHeight="1">
      <c r="A47" s="46">
        <v>45.0</v>
      </c>
      <c r="B47" s="17" t="s">
        <v>335</v>
      </c>
      <c r="C47" s="62" t="s">
        <v>202</v>
      </c>
    </row>
    <row r="48" ht="15.75" customHeight="1">
      <c r="A48" s="46">
        <v>46.0</v>
      </c>
      <c r="B48" s="17" t="s">
        <v>336</v>
      </c>
      <c r="C48" s="62" t="s">
        <v>337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8.43"/>
    <col customWidth="1" min="3" max="3" width="22.43"/>
    <col customWidth="1" min="4" max="4" width="25.43"/>
    <col customWidth="1" min="5" max="10" width="9.14"/>
    <col customWidth="1" min="11" max="26" width="8.71"/>
  </cols>
  <sheetData>
    <row r="1" ht="15.0" customHeight="1">
      <c r="A1" s="7" t="s">
        <v>1043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1044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402" t="s">
        <v>1</v>
      </c>
      <c r="B6" s="402" t="s">
        <v>3</v>
      </c>
      <c r="C6" s="402" t="s">
        <v>925</v>
      </c>
      <c r="D6" s="402" t="s">
        <v>48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403">
        <v>1.0</v>
      </c>
      <c r="B7" s="404" t="s">
        <v>10</v>
      </c>
      <c r="C7" s="458"/>
      <c r="D7" s="19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240">
        <v>2.0</v>
      </c>
      <c r="B8" s="406" t="s">
        <v>16</v>
      </c>
      <c r="C8" s="407"/>
      <c r="D8" s="197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403">
        <v>3.0</v>
      </c>
      <c r="B9" s="406" t="s">
        <v>88</v>
      </c>
      <c r="C9" s="405"/>
      <c r="D9" s="19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240">
        <v>4.0</v>
      </c>
      <c r="B10" s="406" t="s">
        <v>22</v>
      </c>
      <c r="C10" s="407"/>
      <c r="D10" s="19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403">
        <v>5.0</v>
      </c>
      <c r="B11" s="406" t="s">
        <v>32</v>
      </c>
      <c r="C11" s="405"/>
      <c r="D11" s="197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240">
        <v>6.0</v>
      </c>
      <c r="B12" s="406" t="s">
        <v>35</v>
      </c>
      <c r="C12" s="407"/>
      <c r="D12" s="197"/>
      <c r="E12" s="5"/>
      <c r="F12" s="40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403">
        <v>7.0</v>
      </c>
      <c r="B13" s="406" t="s">
        <v>39</v>
      </c>
      <c r="C13" s="405"/>
      <c r="D13" s="197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240">
        <v>8.0</v>
      </c>
      <c r="B14" s="406" t="s">
        <v>49</v>
      </c>
      <c r="C14" s="407"/>
      <c r="D14" s="19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403">
        <v>9.0</v>
      </c>
      <c r="B15" s="406" t="s">
        <v>61</v>
      </c>
      <c r="C15" s="405"/>
      <c r="D15" s="19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240">
        <v>10.0</v>
      </c>
      <c r="B16" s="406" t="s">
        <v>66</v>
      </c>
      <c r="C16" s="407"/>
      <c r="D16" s="19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403">
        <v>11.0</v>
      </c>
      <c r="B17" s="406" t="s">
        <v>69</v>
      </c>
      <c r="C17" s="405"/>
      <c r="D17" s="19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40">
        <v>12.0</v>
      </c>
      <c r="B18" s="406" t="s">
        <v>72</v>
      </c>
      <c r="C18" s="407"/>
      <c r="D18" s="197"/>
      <c r="E18" s="5"/>
      <c r="F18" s="5"/>
      <c r="G18" s="5"/>
      <c r="H18" s="5"/>
      <c r="I18" s="5"/>
      <c r="J18" s="5" t="s">
        <v>391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403">
        <v>13.0</v>
      </c>
      <c r="B19" s="406" t="s">
        <v>75</v>
      </c>
      <c r="C19" s="405"/>
      <c r="D19" s="197"/>
      <c r="E19" s="5"/>
      <c r="F19" s="5"/>
      <c r="G19" s="5"/>
      <c r="H19" s="5" t="s">
        <v>931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240">
        <v>14.0</v>
      </c>
      <c r="B20" s="406" t="s">
        <v>77</v>
      </c>
      <c r="C20" s="407"/>
      <c r="D20" s="19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403">
        <v>15.0</v>
      </c>
      <c r="B21" s="410" t="s">
        <v>80</v>
      </c>
      <c r="C21" s="405"/>
      <c r="D21" s="19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240">
        <v>16.0</v>
      </c>
      <c r="B22" s="406" t="s">
        <v>89</v>
      </c>
      <c r="C22" s="407"/>
      <c r="D22" s="19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403">
        <v>17.0</v>
      </c>
      <c r="B23" s="406" t="s">
        <v>91</v>
      </c>
      <c r="C23" s="405"/>
      <c r="D23" s="19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240">
        <v>18.0</v>
      </c>
      <c r="B24" s="406" t="s">
        <v>95</v>
      </c>
      <c r="C24" s="407"/>
      <c r="D24" s="19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403">
        <v>19.0</v>
      </c>
      <c r="B25" s="406" t="s">
        <v>101</v>
      </c>
      <c r="C25" s="405"/>
      <c r="D25" s="19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240">
        <v>20.0</v>
      </c>
      <c r="B26" s="406" t="s">
        <v>107</v>
      </c>
      <c r="C26" s="407"/>
      <c r="D26" s="19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403">
        <v>21.0</v>
      </c>
      <c r="B27" s="406" t="s">
        <v>110</v>
      </c>
      <c r="C27" s="405"/>
      <c r="D27" s="19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240">
        <v>22.0</v>
      </c>
      <c r="B28" s="406" t="s">
        <v>115</v>
      </c>
      <c r="C28" s="407"/>
      <c r="D28" s="19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403">
        <v>23.0</v>
      </c>
      <c r="B29" s="406" t="s">
        <v>121</v>
      </c>
      <c r="C29" s="405"/>
      <c r="D29" s="19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240">
        <v>24.0</v>
      </c>
      <c r="B30" s="406" t="s">
        <v>331</v>
      </c>
      <c r="C30" s="458"/>
      <c r="D30" s="19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403">
        <v>25.0</v>
      </c>
      <c r="B31" s="406" t="s">
        <v>333</v>
      </c>
      <c r="C31" s="458"/>
      <c r="D31" s="19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240">
        <v>26.0</v>
      </c>
      <c r="B32" s="406" t="s">
        <v>143</v>
      </c>
      <c r="C32" s="412"/>
      <c r="D32" s="19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403">
        <v>27.0</v>
      </c>
      <c r="B33" s="406" t="s">
        <v>334</v>
      </c>
      <c r="C33" s="405"/>
      <c r="D33" s="19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240">
        <v>28.0</v>
      </c>
      <c r="B34" s="406" t="s">
        <v>335</v>
      </c>
      <c r="C34" s="412"/>
      <c r="D34" s="19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403">
        <v>29.0</v>
      </c>
      <c r="B35" s="406" t="s">
        <v>336</v>
      </c>
      <c r="C35" s="405"/>
      <c r="D35" s="19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240">
        <v>30.0</v>
      </c>
      <c r="B36" s="413" t="s">
        <v>127</v>
      </c>
      <c r="C36" s="407"/>
      <c r="D36" s="19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403">
        <v>31.0</v>
      </c>
      <c r="B37" s="406" t="s">
        <v>132</v>
      </c>
      <c r="C37" s="405"/>
      <c r="D37" s="19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240">
        <v>32.0</v>
      </c>
      <c r="B38" s="406" t="s">
        <v>138</v>
      </c>
      <c r="C38" s="407"/>
      <c r="D38" s="19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403">
        <v>33.0</v>
      </c>
      <c r="B39" s="413" t="s">
        <v>262</v>
      </c>
      <c r="C39" s="415"/>
      <c r="D39" s="19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240">
        <v>34.0</v>
      </c>
      <c r="B40" s="413" t="s">
        <v>146</v>
      </c>
      <c r="C40" s="412"/>
      <c r="D40" s="19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403">
        <v>35.0</v>
      </c>
      <c r="B41" s="406" t="s">
        <v>151</v>
      </c>
      <c r="C41" s="415"/>
      <c r="D41" s="19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240">
        <v>36.0</v>
      </c>
      <c r="B42" s="406" t="s">
        <v>158</v>
      </c>
      <c r="C42" s="412"/>
      <c r="D42" s="19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403">
        <v>37.0</v>
      </c>
      <c r="B43" s="406" t="s">
        <v>278</v>
      </c>
      <c r="C43" s="415"/>
      <c r="D43" s="19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240">
        <v>38.0</v>
      </c>
      <c r="B44" s="406" t="s">
        <v>162</v>
      </c>
      <c r="C44" s="412"/>
      <c r="D44" s="19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403">
        <v>39.0</v>
      </c>
      <c r="B45" s="406" t="s">
        <v>166</v>
      </c>
      <c r="C45" s="415"/>
      <c r="D45" s="19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240">
        <v>40.0</v>
      </c>
      <c r="B46" s="416" t="s">
        <v>169</v>
      </c>
      <c r="C46" s="412"/>
      <c r="D46" s="19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403">
        <v>41.0</v>
      </c>
      <c r="B47" s="416" t="s">
        <v>172</v>
      </c>
      <c r="C47" s="415"/>
      <c r="D47" s="19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240">
        <v>42.0</v>
      </c>
      <c r="B48" s="416" t="s">
        <v>940</v>
      </c>
      <c r="C48" s="412"/>
      <c r="D48" s="19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403">
        <v>43.0</v>
      </c>
      <c r="B49" s="416" t="s">
        <v>181</v>
      </c>
      <c r="C49" s="415"/>
      <c r="D49" s="19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85"/>
      <c r="B50" s="486"/>
      <c r="C50" s="48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418" t="s">
        <v>302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418" t="s">
        <v>304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419"/>
      <c r="D53" s="420"/>
      <c r="E53" s="41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419"/>
      <c r="D54" s="420"/>
      <c r="E54" s="41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421" t="s">
        <v>307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422" t="s">
        <v>308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A1:D1"/>
    <mergeCell ref="A2:D2"/>
    <mergeCell ref="A3:D3"/>
    <mergeCell ref="C51:E51"/>
    <mergeCell ref="C52:E52"/>
    <mergeCell ref="C55:E55"/>
    <mergeCell ref="C56:E56"/>
  </mergeCells>
  <printOptions/>
  <pageMargins bottom="0.75" footer="0.0" header="0.0" left="0.7" right="0.7" top="0.75"/>
  <pageSetup paperSize="5" scale="8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57"/>
    <col customWidth="1" min="3" max="98" width="2.71"/>
    <col customWidth="1" min="99" max="99" width="8.71"/>
  </cols>
  <sheetData>
    <row r="1">
      <c r="A1" s="459" t="s">
        <v>1045</v>
      </c>
    </row>
    <row r="2">
      <c r="A2" s="460" t="s">
        <v>1046</v>
      </c>
    </row>
    <row r="4" ht="15.0" customHeight="1">
      <c r="A4" s="461" t="s">
        <v>1</v>
      </c>
      <c r="B4" s="461" t="s">
        <v>3</v>
      </c>
      <c r="C4" s="462">
        <v>1.0</v>
      </c>
      <c r="D4" s="463"/>
      <c r="E4" s="464"/>
      <c r="F4" s="465">
        <v>2.0</v>
      </c>
      <c r="G4" s="463"/>
      <c r="H4" s="464"/>
      <c r="I4" s="465">
        <v>3.0</v>
      </c>
      <c r="J4" s="463"/>
      <c r="K4" s="464"/>
      <c r="L4" s="462">
        <v>4.0</v>
      </c>
      <c r="M4" s="463"/>
      <c r="N4" s="464"/>
      <c r="O4" s="462">
        <v>5.0</v>
      </c>
      <c r="P4" s="463"/>
      <c r="Q4" s="464"/>
      <c r="R4" s="465">
        <v>6.0</v>
      </c>
      <c r="S4" s="463"/>
      <c r="T4" s="464"/>
      <c r="U4" s="465">
        <v>7.0</v>
      </c>
      <c r="V4" s="463"/>
      <c r="W4" s="464"/>
      <c r="X4" s="465">
        <v>8.0</v>
      </c>
      <c r="Y4" s="463"/>
      <c r="Z4" s="464"/>
      <c r="AA4" s="465">
        <v>9.0</v>
      </c>
      <c r="AB4" s="463"/>
      <c r="AC4" s="464"/>
      <c r="AD4" s="465">
        <v>10.0</v>
      </c>
      <c r="AE4" s="463"/>
      <c r="AF4" s="464"/>
      <c r="AG4" s="462">
        <v>11.0</v>
      </c>
      <c r="AH4" s="463"/>
      <c r="AI4" s="464"/>
      <c r="AJ4" s="462">
        <v>12.0</v>
      </c>
      <c r="AK4" s="463"/>
      <c r="AL4" s="464"/>
      <c r="AM4" s="465">
        <v>13.0</v>
      </c>
      <c r="AN4" s="463"/>
      <c r="AO4" s="464"/>
      <c r="AP4" s="465">
        <v>14.0</v>
      </c>
      <c r="AQ4" s="463"/>
      <c r="AR4" s="464"/>
      <c r="AS4" s="465">
        <v>15.0</v>
      </c>
      <c r="AT4" s="463"/>
      <c r="AU4" s="464"/>
      <c r="AV4" s="465">
        <v>16.0</v>
      </c>
      <c r="AW4" s="463"/>
      <c r="AX4" s="464"/>
      <c r="AY4" s="465">
        <v>17.0</v>
      </c>
      <c r="AZ4" s="463"/>
      <c r="BA4" s="464"/>
      <c r="BB4" s="462">
        <v>18.0</v>
      </c>
      <c r="BC4" s="463"/>
      <c r="BD4" s="464"/>
      <c r="BE4" s="462">
        <v>19.0</v>
      </c>
      <c r="BF4" s="463"/>
      <c r="BG4" s="464"/>
      <c r="BH4" s="465">
        <v>20.0</v>
      </c>
      <c r="BI4" s="463"/>
      <c r="BJ4" s="464"/>
      <c r="BK4" s="465">
        <v>21.0</v>
      </c>
      <c r="BL4" s="463"/>
      <c r="BM4" s="464"/>
      <c r="BN4" s="465">
        <v>22.0</v>
      </c>
      <c r="BO4" s="463"/>
      <c r="BP4" s="464"/>
      <c r="BQ4" s="465">
        <v>23.0</v>
      </c>
      <c r="BR4" s="463"/>
      <c r="BS4" s="464"/>
      <c r="BT4" s="465">
        <v>24.0</v>
      </c>
      <c r="BU4" s="463"/>
      <c r="BV4" s="464"/>
      <c r="BW4" s="462">
        <v>25.0</v>
      </c>
      <c r="BX4" s="463"/>
      <c r="BY4" s="464"/>
      <c r="BZ4" s="462">
        <v>26.0</v>
      </c>
      <c r="CA4" s="463"/>
      <c r="CB4" s="464"/>
      <c r="CC4" s="462">
        <v>27.0</v>
      </c>
      <c r="CD4" s="463"/>
      <c r="CE4" s="464"/>
      <c r="CF4" s="462">
        <v>28.0</v>
      </c>
      <c r="CG4" s="463"/>
      <c r="CH4" s="464"/>
      <c r="CI4" s="462">
        <v>29.0</v>
      </c>
      <c r="CJ4" s="463"/>
      <c r="CK4" s="464"/>
      <c r="CL4" s="465">
        <v>30.0</v>
      </c>
      <c r="CM4" s="463"/>
      <c r="CN4" s="464"/>
      <c r="CO4" s="465">
        <v>31.0</v>
      </c>
      <c r="CP4" s="463"/>
      <c r="CQ4" s="464"/>
      <c r="CR4" s="466" t="s">
        <v>1039</v>
      </c>
      <c r="CS4" s="463"/>
      <c r="CT4" s="464"/>
      <c r="CU4" s="467"/>
    </row>
    <row r="5">
      <c r="A5" s="468"/>
      <c r="B5" s="468"/>
      <c r="C5" s="469" t="s">
        <v>1047</v>
      </c>
      <c r="D5" s="469" t="s">
        <v>1048</v>
      </c>
      <c r="E5" s="469" t="s">
        <v>1049</v>
      </c>
      <c r="F5" s="470" t="s">
        <v>1047</v>
      </c>
      <c r="G5" s="470" t="s">
        <v>1048</v>
      </c>
      <c r="H5" s="470" t="s">
        <v>1049</v>
      </c>
      <c r="I5" s="470" t="s">
        <v>1047</v>
      </c>
      <c r="J5" s="470" t="s">
        <v>1048</v>
      </c>
      <c r="K5" s="470" t="s">
        <v>1049</v>
      </c>
      <c r="L5" s="469" t="s">
        <v>1047</v>
      </c>
      <c r="M5" s="469" t="s">
        <v>1048</v>
      </c>
      <c r="N5" s="469" t="s">
        <v>1049</v>
      </c>
      <c r="O5" s="469" t="s">
        <v>1047</v>
      </c>
      <c r="P5" s="469" t="s">
        <v>1048</v>
      </c>
      <c r="Q5" s="469" t="s">
        <v>1049</v>
      </c>
      <c r="R5" s="470" t="s">
        <v>1047</v>
      </c>
      <c r="S5" s="470" t="s">
        <v>1048</v>
      </c>
      <c r="T5" s="470" t="s">
        <v>1049</v>
      </c>
      <c r="U5" s="470" t="s">
        <v>1047</v>
      </c>
      <c r="V5" s="470" t="s">
        <v>1048</v>
      </c>
      <c r="W5" s="470" t="s">
        <v>1049</v>
      </c>
      <c r="X5" s="470" t="s">
        <v>1047</v>
      </c>
      <c r="Y5" s="470" t="s">
        <v>1048</v>
      </c>
      <c r="Z5" s="470" t="s">
        <v>1049</v>
      </c>
      <c r="AA5" s="470" t="s">
        <v>1047</v>
      </c>
      <c r="AB5" s="470" t="s">
        <v>1048</v>
      </c>
      <c r="AC5" s="470" t="s">
        <v>1049</v>
      </c>
      <c r="AD5" s="470" t="s">
        <v>1047</v>
      </c>
      <c r="AE5" s="470" t="s">
        <v>1048</v>
      </c>
      <c r="AF5" s="470" t="s">
        <v>1049</v>
      </c>
      <c r="AG5" s="469" t="s">
        <v>1047</v>
      </c>
      <c r="AH5" s="469" t="s">
        <v>1048</v>
      </c>
      <c r="AI5" s="469" t="s">
        <v>1049</v>
      </c>
      <c r="AJ5" s="469" t="s">
        <v>1047</v>
      </c>
      <c r="AK5" s="469" t="s">
        <v>1048</v>
      </c>
      <c r="AL5" s="469" t="s">
        <v>1049</v>
      </c>
      <c r="AM5" s="470" t="s">
        <v>1047</v>
      </c>
      <c r="AN5" s="470" t="s">
        <v>1048</v>
      </c>
      <c r="AO5" s="470" t="s">
        <v>1049</v>
      </c>
      <c r="AP5" s="470" t="s">
        <v>1047</v>
      </c>
      <c r="AQ5" s="470" t="s">
        <v>1048</v>
      </c>
      <c r="AR5" s="470" t="s">
        <v>1049</v>
      </c>
      <c r="AS5" s="470" t="s">
        <v>1047</v>
      </c>
      <c r="AT5" s="470" t="s">
        <v>1048</v>
      </c>
      <c r="AU5" s="470" t="s">
        <v>1049</v>
      </c>
      <c r="AV5" s="470" t="s">
        <v>1047</v>
      </c>
      <c r="AW5" s="470" t="s">
        <v>1048</v>
      </c>
      <c r="AX5" s="470" t="s">
        <v>1049</v>
      </c>
      <c r="AY5" s="470" t="s">
        <v>1047</v>
      </c>
      <c r="AZ5" s="470" t="s">
        <v>1048</v>
      </c>
      <c r="BA5" s="470" t="s">
        <v>1049</v>
      </c>
      <c r="BB5" s="469" t="s">
        <v>1047</v>
      </c>
      <c r="BC5" s="469" t="s">
        <v>1048</v>
      </c>
      <c r="BD5" s="469" t="s">
        <v>1049</v>
      </c>
      <c r="BE5" s="469" t="s">
        <v>1047</v>
      </c>
      <c r="BF5" s="469" t="s">
        <v>1048</v>
      </c>
      <c r="BG5" s="469" t="s">
        <v>1049</v>
      </c>
      <c r="BH5" s="470" t="s">
        <v>1047</v>
      </c>
      <c r="BI5" s="470" t="s">
        <v>1048</v>
      </c>
      <c r="BJ5" s="470" t="s">
        <v>1049</v>
      </c>
      <c r="BK5" s="470" t="s">
        <v>1047</v>
      </c>
      <c r="BL5" s="470" t="s">
        <v>1048</v>
      </c>
      <c r="BM5" s="470" t="s">
        <v>1049</v>
      </c>
      <c r="BN5" s="470" t="s">
        <v>1047</v>
      </c>
      <c r="BO5" s="470" t="s">
        <v>1048</v>
      </c>
      <c r="BP5" s="470" t="s">
        <v>1049</v>
      </c>
      <c r="BQ5" s="470" t="s">
        <v>1047</v>
      </c>
      <c r="BR5" s="470" t="s">
        <v>1048</v>
      </c>
      <c r="BS5" s="470" t="s">
        <v>1049</v>
      </c>
      <c r="BT5" s="470" t="s">
        <v>1047</v>
      </c>
      <c r="BU5" s="470" t="s">
        <v>1048</v>
      </c>
      <c r="BV5" s="470" t="s">
        <v>1049</v>
      </c>
      <c r="BW5" s="469" t="s">
        <v>1047</v>
      </c>
      <c r="BX5" s="469" t="s">
        <v>1048</v>
      </c>
      <c r="BY5" s="469" t="s">
        <v>1049</v>
      </c>
      <c r="BZ5" s="469" t="s">
        <v>1047</v>
      </c>
      <c r="CA5" s="469" t="s">
        <v>1048</v>
      </c>
      <c r="CB5" s="469" t="s">
        <v>1049</v>
      </c>
      <c r="CC5" s="469" t="s">
        <v>1047</v>
      </c>
      <c r="CD5" s="469" t="s">
        <v>1048</v>
      </c>
      <c r="CE5" s="469" t="s">
        <v>1049</v>
      </c>
      <c r="CF5" s="469" t="s">
        <v>1047</v>
      </c>
      <c r="CG5" s="469" t="s">
        <v>1048</v>
      </c>
      <c r="CH5" s="469" t="s">
        <v>1049</v>
      </c>
      <c r="CI5" s="469" t="s">
        <v>1047</v>
      </c>
      <c r="CJ5" s="469" t="s">
        <v>1048</v>
      </c>
      <c r="CK5" s="469" t="s">
        <v>1049</v>
      </c>
      <c r="CL5" s="470" t="s">
        <v>1047</v>
      </c>
      <c r="CM5" s="470" t="s">
        <v>1048</v>
      </c>
      <c r="CN5" s="470" t="s">
        <v>1049</v>
      </c>
      <c r="CO5" s="470" t="s">
        <v>1047</v>
      </c>
      <c r="CP5" s="470" t="s">
        <v>1048</v>
      </c>
      <c r="CQ5" s="471" t="s">
        <v>1049</v>
      </c>
      <c r="CR5" s="472" t="s">
        <v>1047</v>
      </c>
      <c r="CS5" s="472" t="s">
        <v>1048</v>
      </c>
      <c r="CT5" s="473" t="s">
        <v>1049</v>
      </c>
      <c r="CU5" s="467"/>
    </row>
    <row r="6" ht="11.25" customHeight="1">
      <c r="A6" s="474">
        <v>1.0</v>
      </c>
      <c r="B6" s="475" t="s">
        <v>10</v>
      </c>
      <c r="C6" s="476"/>
      <c r="D6" s="477"/>
      <c r="E6" s="478"/>
      <c r="F6" s="479"/>
      <c r="G6" s="480"/>
      <c r="H6" s="481"/>
      <c r="I6" s="479"/>
      <c r="J6" s="480"/>
      <c r="K6" s="481"/>
      <c r="L6" s="482"/>
      <c r="M6" s="483"/>
      <c r="N6" s="484"/>
      <c r="O6" s="482"/>
      <c r="P6" s="483"/>
      <c r="Q6" s="484"/>
      <c r="R6" s="479"/>
      <c r="S6" s="480"/>
      <c r="T6" s="481"/>
      <c r="U6" s="479"/>
      <c r="V6" s="480"/>
      <c r="W6" s="481"/>
      <c r="X6" s="479"/>
      <c r="Y6" s="480"/>
      <c r="Z6" s="481"/>
      <c r="AA6" s="479"/>
      <c r="AB6" s="480"/>
      <c r="AC6" s="481"/>
      <c r="AD6" s="479"/>
      <c r="AE6" s="480"/>
      <c r="AF6" s="481"/>
      <c r="AG6" s="482"/>
      <c r="AH6" s="483"/>
      <c r="AI6" s="484"/>
      <c r="AJ6" s="482"/>
      <c r="AK6" s="483"/>
      <c r="AL6" s="484"/>
      <c r="AM6" s="479"/>
      <c r="AN6" s="480"/>
      <c r="AO6" s="481">
        <v>1.0</v>
      </c>
      <c r="AP6" s="479"/>
      <c r="AQ6" s="480"/>
      <c r="AR6" s="481"/>
      <c r="AS6" s="479"/>
      <c r="AT6" s="480"/>
      <c r="AU6" s="481"/>
      <c r="AV6" s="479"/>
      <c r="AW6" s="480"/>
      <c r="AX6" s="481"/>
      <c r="AY6" s="479"/>
      <c r="AZ6" s="480"/>
      <c r="BA6" s="481"/>
      <c r="BB6" s="482"/>
      <c r="BC6" s="483"/>
      <c r="BD6" s="484"/>
      <c r="BE6" s="482"/>
      <c r="BF6" s="483"/>
      <c r="BG6" s="484"/>
      <c r="BH6" s="479"/>
      <c r="BI6" s="480"/>
      <c r="BJ6" s="481"/>
      <c r="BK6" s="479"/>
      <c r="BL6" s="480"/>
      <c r="BM6" s="481"/>
      <c r="BN6" s="479"/>
      <c r="BO6" s="480"/>
      <c r="BP6" s="481"/>
      <c r="BQ6" s="479"/>
      <c r="BR6" s="480"/>
      <c r="BS6" s="481"/>
      <c r="BT6" s="479"/>
      <c r="BU6" s="480"/>
      <c r="BV6" s="481"/>
      <c r="BW6" s="482"/>
      <c r="BX6" s="483"/>
      <c r="BY6" s="484"/>
      <c r="BZ6" s="482"/>
      <c r="CA6" s="483"/>
      <c r="CB6" s="484"/>
      <c r="CC6" s="482"/>
      <c r="CD6" s="483"/>
      <c r="CE6" s="484"/>
      <c r="CF6" s="482"/>
      <c r="CG6" s="483"/>
      <c r="CH6" s="484"/>
      <c r="CI6" s="482"/>
      <c r="CJ6" s="483"/>
      <c r="CK6" s="484"/>
      <c r="CL6" s="479"/>
      <c r="CM6" s="480"/>
      <c r="CN6" s="481"/>
      <c r="CO6" s="479"/>
      <c r="CP6" s="480"/>
      <c r="CQ6" s="488"/>
      <c r="CR6" s="489">
        <f t="shared" ref="CR6:CT6" si="1">C6+F6+I6+L6+O6+R6+U6+X6+AA6+AD6+AG6+AJ6+AM6+AP6+AS6+AV6+AY6+BB6+BE6+BH6+BK6+BN6+BQ6+BT6+BW6+BZ6+CC6+CF6+CI6+CL6+CO6</f>
        <v>0</v>
      </c>
      <c r="CS6" s="489">
        <f t="shared" si="1"/>
        <v>0</v>
      </c>
      <c r="CT6" s="489">
        <f t="shared" si="1"/>
        <v>1</v>
      </c>
      <c r="CU6" s="467"/>
    </row>
    <row r="7" ht="11.25" customHeight="1">
      <c r="A7" s="490">
        <v>2.0</v>
      </c>
      <c r="B7" s="491" t="s">
        <v>16</v>
      </c>
      <c r="C7" s="492"/>
      <c r="D7" s="493"/>
      <c r="E7" s="494"/>
      <c r="F7" s="495"/>
      <c r="G7" s="257"/>
      <c r="H7" s="496"/>
      <c r="I7" s="495"/>
      <c r="J7" s="257"/>
      <c r="K7" s="496"/>
      <c r="L7" s="492"/>
      <c r="M7" s="493"/>
      <c r="N7" s="494"/>
      <c r="O7" s="492"/>
      <c r="P7" s="493"/>
      <c r="Q7" s="494"/>
      <c r="R7" s="495"/>
      <c r="S7" s="257"/>
      <c r="T7" s="496"/>
      <c r="U7" s="495"/>
      <c r="V7" s="257"/>
      <c r="W7" s="496"/>
      <c r="X7" s="495"/>
      <c r="Y7" s="257"/>
      <c r="Z7" s="496"/>
      <c r="AA7" s="495"/>
      <c r="AB7" s="257"/>
      <c r="AC7" s="496"/>
      <c r="AD7" s="495"/>
      <c r="AE7" s="257"/>
      <c r="AF7" s="496"/>
      <c r="AG7" s="492"/>
      <c r="AH7" s="493"/>
      <c r="AI7" s="494"/>
      <c r="AJ7" s="492"/>
      <c r="AK7" s="493"/>
      <c r="AL7" s="494"/>
      <c r="AM7" s="495"/>
      <c r="AN7" s="257"/>
      <c r="AO7" s="496"/>
      <c r="AP7" s="495"/>
      <c r="AQ7" s="257"/>
      <c r="AR7" s="496"/>
      <c r="AS7" s="495"/>
      <c r="AT7" s="257"/>
      <c r="AU7" s="496"/>
      <c r="AV7" s="495"/>
      <c r="AW7" s="257"/>
      <c r="AX7" s="496"/>
      <c r="AY7" s="495"/>
      <c r="AZ7" s="257"/>
      <c r="BA7" s="496"/>
      <c r="BB7" s="492"/>
      <c r="BC7" s="493"/>
      <c r="BD7" s="494"/>
      <c r="BE7" s="492"/>
      <c r="BF7" s="493"/>
      <c r="BG7" s="494"/>
      <c r="BH7" s="495"/>
      <c r="BI7" s="257"/>
      <c r="BJ7" s="496"/>
      <c r="BK7" s="495"/>
      <c r="BL7" s="257"/>
      <c r="BM7" s="496"/>
      <c r="BN7" s="495"/>
      <c r="BO7" s="257"/>
      <c r="BP7" s="496"/>
      <c r="BQ7" s="495"/>
      <c r="BR7" s="257"/>
      <c r="BS7" s="496"/>
      <c r="BT7" s="495"/>
      <c r="BU7" s="257"/>
      <c r="BV7" s="496"/>
      <c r="BW7" s="492"/>
      <c r="BX7" s="493"/>
      <c r="BY7" s="494"/>
      <c r="BZ7" s="492"/>
      <c r="CA7" s="493"/>
      <c r="CB7" s="494"/>
      <c r="CC7" s="492"/>
      <c r="CD7" s="493"/>
      <c r="CE7" s="494"/>
      <c r="CF7" s="492"/>
      <c r="CG7" s="493"/>
      <c r="CH7" s="494"/>
      <c r="CI7" s="492"/>
      <c r="CJ7" s="493"/>
      <c r="CK7" s="494"/>
      <c r="CL7" s="495"/>
      <c r="CM7" s="257"/>
      <c r="CN7" s="496"/>
      <c r="CO7" s="495"/>
      <c r="CP7" s="257"/>
      <c r="CQ7" s="497"/>
      <c r="CR7" s="489">
        <f t="shared" ref="CR7:CT7" si="2">C7+F7+I7+L7+O7+R7+U7+X7+AA7+AD7+AG7+AJ7+AM7+AP7+AS7+AV7+AY7+BB7+BE7+BH7+BK7+BN7+BQ7+BT7+BW7+BZ7+CC7+CF7+CI7+CL7+CO7</f>
        <v>0</v>
      </c>
      <c r="CS7" s="489">
        <f t="shared" si="2"/>
        <v>0</v>
      </c>
      <c r="CT7" s="489">
        <f t="shared" si="2"/>
        <v>0</v>
      </c>
      <c r="CU7" s="467"/>
    </row>
    <row r="8" ht="11.25" customHeight="1">
      <c r="A8" s="498">
        <v>3.0</v>
      </c>
      <c r="B8" s="491" t="s">
        <v>88</v>
      </c>
      <c r="C8" s="492"/>
      <c r="D8" s="493"/>
      <c r="E8" s="494"/>
      <c r="F8" s="495"/>
      <c r="G8" s="257"/>
      <c r="H8" s="496"/>
      <c r="I8" s="495"/>
      <c r="J8" s="257"/>
      <c r="K8" s="496">
        <v>1.0</v>
      </c>
      <c r="L8" s="492"/>
      <c r="M8" s="493"/>
      <c r="N8" s="494"/>
      <c r="O8" s="492"/>
      <c r="P8" s="493"/>
      <c r="Q8" s="494"/>
      <c r="R8" s="495"/>
      <c r="S8" s="257"/>
      <c r="T8" s="496"/>
      <c r="U8" s="495"/>
      <c r="V8" s="257"/>
      <c r="W8" s="496"/>
      <c r="X8" s="495"/>
      <c r="Y8" s="257"/>
      <c r="Z8" s="496"/>
      <c r="AA8" s="495">
        <v>1.0</v>
      </c>
      <c r="AB8" s="257"/>
      <c r="AC8" s="496"/>
      <c r="AD8" s="495">
        <v>1.0</v>
      </c>
      <c r="AE8" s="257"/>
      <c r="AF8" s="496"/>
      <c r="AG8" s="492"/>
      <c r="AH8" s="493"/>
      <c r="AI8" s="494"/>
      <c r="AJ8" s="492"/>
      <c r="AK8" s="493"/>
      <c r="AL8" s="494"/>
      <c r="AM8" s="495"/>
      <c r="AN8" s="257"/>
      <c r="AO8" s="496"/>
      <c r="AP8" s="495"/>
      <c r="AQ8" s="257"/>
      <c r="AR8" s="496"/>
      <c r="AS8" s="495"/>
      <c r="AT8" s="257"/>
      <c r="AU8" s="496"/>
      <c r="AV8" s="495"/>
      <c r="AW8" s="257"/>
      <c r="AX8" s="496"/>
      <c r="AY8" s="495"/>
      <c r="AZ8" s="257"/>
      <c r="BA8" s="496"/>
      <c r="BB8" s="492"/>
      <c r="BC8" s="493"/>
      <c r="BD8" s="494"/>
      <c r="BE8" s="492"/>
      <c r="BF8" s="493"/>
      <c r="BG8" s="494"/>
      <c r="BH8" s="495"/>
      <c r="BI8" s="257"/>
      <c r="BJ8" s="496"/>
      <c r="BK8" s="495"/>
      <c r="BL8" s="257"/>
      <c r="BM8" s="496"/>
      <c r="BN8" s="495"/>
      <c r="BO8" s="257"/>
      <c r="BP8" s="496"/>
      <c r="BQ8" s="495"/>
      <c r="BR8" s="257"/>
      <c r="BS8" s="496"/>
      <c r="BT8" s="495"/>
      <c r="BU8" s="257"/>
      <c r="BV8" s="496"/>
      <c r="BW8" s="492"/>
      <c r="BX8" s="493"/>
      <c r="BY8" s="494"/>
      <c r="BZ8" s="492"/>
      <c r="CA8" s="493"/>
      <c r="CB8" s="494"/>
      <c r="CC8" s="492"/>
      <c r="CD8" s="493"/>
      <c r="CE8" s="494"/>
      <c r="CF8" s="492"/>
      <c r="CG8" s="493"/>
      <c r="CH8" s="494"/>
      <c r="CI8" s="492"/>
      <c r="CJ8" s="493"/>
      <c r="CK8" s="494"/>
      <c r="CL8" s="495"/>
      <c r="CM8" s="257"/>
      <c r="CN8" s="496"/>
      <c r="CO8" s="495"/>
      <c r="CP8" s="257"/>
      <c r="CQ8" s="497"/>
      <c r="CR8" s="489">
        <f t="shared" ref="CR8:CT8" si="3">C8+F8+I8+L8+O8+R8+U8+X8+AA8+AD8+AG8+AJ8+AM8+AP8+AS8+AV8+AY8+BB8+BE8+BH8+BK8+BN8+BQ8+BT8+BW8+BZ8+CC8+CF8+CI8+CL8+CO8</f>
        <v>2</v>
      </c>
      <c r="CS8" s="489">
        <f t="shared" si="3"/>
        <v>0</v>
      </c>
      <c r="CT8" s="489">
        <f t="shared" si="3"/>
        <v>1</v>
      </c>
      <c r="CU8" s="467"/>
    </row>
    <row r="9" ht="11.25" customHeight="1">
      <c r="A9" s="490">
        <v>4.0</v>
      </c>
      <c r="B9" s="491" t="s">
        <v>22</v>
      </c>
      <c r="C9" s="492"/>
      <c r="D9" s="493"/>
      <c r="E9" s="494"/>
      <c r="F9" s="495"/>
      <c r="G9" s="257"/>
      <c r="H9" s="496"/>
      <c r="I9" s="495"/>
      <c r="J9" s="257"/>
      <c r="K9" s="496"/>
      <c r="L9" s="492"/>
      <c r="M9" s="493"/>
      <c r="N9" s="494"/>
      <c r="O9" s="492"/>
      <c r="P9" s="493"/>
      <c r="Q9" s="494"/>
      <c r="R9" s="495"/>
      <c r="S9" s="257"/>
      <c r="T9" s="496"/>
      <c r="U9" s="495"/>
      <c r="V9" s="257"/>
      <c r="W9" s="496"/>
      <c r="X9" s="495"/>
      <c r="Y9" s="257"/>
      <c r="Z9" s="496"/>
      <c r="AA9" s="495"/>
      <c r="AB9" s="257"/>
      <c r="AC9" s="496"/>
      <c r="AD9" s="495"/>
      <c r="AE9" s="257"/>
      <c r="AF9" s="496"/>
      <c r="AG9" s="492"/>
      <c r="AH9" s="493"/>
      <c r="AI9" s="494"/>
      <c r="AJ9" s="492"/>
      <c r="AK9" s="493"/>
      <c r="AL9" s="494"/>
      <c r="AM9" s="495"/>
      <c r="AN9" s="257"/>
      <c r="AO9" s="496"/>
      <c r="AP9" s="495"/>
      <c r="AQ9" s="257">
        <v>1.0</v>
      </c>
      <c r="AR9" s="496"/>
      <c r="AS9" s="495"/>
      <c r="AT9" s="257">
        <v>1.0</v>
      </c>
      <c r="AU9" s="496"/>
      <c r="AV9" s="495"/>
      <c r="AW9" s="257">
        <v>1.0</v>
      </c>
      <c r="AX9" s="496"/>
      <c r="AY9" s="495"/>
      <c r="AZ9" s="257">
        <v>1.0</v>
      </c>
      <c r="BA9" s="496"/>
      <c r="BB9" s="492"/>
      <c r="BC9" s="493"/>
      <c r="BD9" s="494"/>
      <c r="BE9" s="492"/>
      <c r="BF9" s="493"/>
      <c r="BG9" s="494"/>
      <c r="BH9" s="495"/>
      <c r="BI9" s="257">
        <v>1.0</v>
      </c>
      <c r="BJ9" s="496"/>
      <c r="BK9" s="495"/>
      <c r="BL9" s="257">
        <v>1.0</v>
      </c>
      <c r="BM9" s="496"/>
      <c r="BN9" s="495"/>
      <c r="BO9" s="257">
        <v>1.0</v>
      </c>
      <c r="BP9" s="496"/>
      <c r="BQ9" s="495"/>
      <c r="BR9" s="257"/>
      <c r="BS9" s="496"/>
      <c r="BT9" s="495"/>
      <c r="BU9" s="257"/>
      <c r="BV9" s="496"/>
      <c r="BW9" s="492"/>
      <c r="BX9" s="493"/>
      <c r="BY9" s="494"/>
      <c r="BZ9" s="492"/>
      <c r="CA9" s="493"/>
      <c r="CB9" s="494"/>
      <c r="CC9" s="492"/>
      <c r="CD9" s="493"/>
      <c r="CE9" s="494"/>
      <c r="CF9" s="492"/>
      <c r="CG9" s="493"/>
      <c r="CH9" s="494"/>
      <c r="CI9" s="492"/>
      <c r="CJ9" s="493"/>
      <c r="CK9" s="494"/>
      <c r="CL9" s="495"/>
      <c r="CM9" s="257"/>
      <c r="CN9" s="496"/>
      <c r="CO9" s="495"/>
      <c r="CP9" s="257"/>
      <c r="CQ9" s="497"/>
      <c r="CR9" s="489">
        <f t="shared" ref="CR9:CT9" si="4">C9+F9+I9+L9+O9+R9+U9+X9+AA9+AD9+AG9+AJ9+AM9+AP9+AS9+AV9+AY9+BB9+BE9+BH9+BK9+BN9+BQ9+BT9+BW9+BZ9+CC9+CF9+CI9+CL9+CO9</f>
        <v>0</v>
      </c>
      <c r="CS9" s="489">
        <f t="shared" si="4"/>
        <v>7</v>
      </c>
      <c r="CT9" s="489">
        <f t="shared" si="4"/>
        <v>0</v>
      </c>
      <c r="CU9" s="467"/>
    </row>
    <row r="10" ht="11.25" customHeight="1">
      <c r="A10" s="498">
        <v>5.0</v>
      </c>
      <c r="B10" s="491" t="s">
        <v>32</v>
      </c>
      <c r="C10" s="492"/>
      <c r="D10" s="493"/>
      <c r="E10" s="494"/>
      <c r="F10" s="495"/>
      <c r="G10" s="257"/>
      <c r="H10" s="496"/>
      <c r="I10" s="495"/>
      <c r="J10" s="257"/>
      <c r="K10" s="496"/>
      <c r="L10" s="492"/>
      <c r="M10" s="493"/>
      <c r="N10" s="494"/>
      <c r="O10" s="492"/>
      <c r="P10" s="493"/>
      <c r="Q10" s="494"/>
      <c r="R10" s="495"/>
      <c r="S10" s="257"/>
      <c r="T10" s="496"/>
      <c r="U10" s="495"/>
      <c r="V10" s="257"/>
      <c r="W10" s="496"/>
      <c r="X10" s="495"/>
      <c r="Y10" s="257"/>
      <c r="Z10" s="496"/>
      <c r="AA10" s="495"/>
      <c r="AB10" s="257"/>
      <c r="AC10" s="496"/>
      <c r="AD10" s="495"/>
      <c r="AE10" s="257"/>
      <c r="AF10" s="496"/>
      <c r="AG10" s="492"/>
      <c r="AH10" s="493"/>
      <c r="AI10" s="494"/>
      <c r="AJ10" s="492"/>
      <c r="AK10" s="493"/>
      <c r="AL10" s="494"/>
      <c r="AM10" s="495"/>
      <c r="AN10" s="257"/>
      <c r="AO10" s="496"/>
      <c r="AP10" s="495"/>
      <c r="AQ10" s="257"/>
      <c r="AR10" s="496"/>
      <c r="AS10" s="495"/>
      <c r="AT10" s="257"/>
      <c r="AU10" s="496"/>
      <c r="AV10" s="495"/>
      <c r="AW10" s="257"/>
      <c r="AX10" s="496"/>
      <c r="AY10" s="495"/>
      <c r="AZ10" s="257"/>
      <c r="BA10" s="496"/>
      <c r="BB10" s="492"/>
      <c r="BC10" s="493"/>
      <c r="BD10" s="494"/>
      <c r="BE10" s="492"/>
      <c r="BF10" s="493"/>
      <c r="BG10" s="494"/>
      <c r="BH10" s="495"/>
      <c r="BI10" s="257"/>
      <c r="BJ10" s="496"/>
      <c r="BK10" s="495"/>
      <c r="BL10" s="257"/>
      <c r="BM10" s="496"/>
      <c r="BN10" s="495"/>
      <c r="BO10" s="257"/>
      <c r="BP10" s="496"/>
      <c r="BQ10" s="495"/>
      <c r="BR10" s="257"/>
      <c r="BS10" s="496"/>
      <c r="BT10" s="495"/>
      <c r="BU10" s="257"/>
      <c r="BV10" s="496"/>
      <c r="BW10" s="492"/>
      <c r="BX10" s="493"/>
      <c r="BY10" s="494"/>
      <c r="BZ10" s="492"/>
      <c r="CA10" s="493"/>
      <c r="CB10" s="494"/>
      <c r="CC10" s="492"/>
      <c r="CD10" s="493"/>
      <c r="CE10" s="494"/>
      <c r="CF10" s="492"/>
      <c r="CG10" s="493"/>
      <c r="CH10" s="494"/>
      <c r="CI10" s="492"/>
      <c r="CJ10" s="493"/>
      <c r="CK10" s="494"/>
      <c r="CL10" s="495"/>
      <c r="CM10" s="257"/>
      <c r="CN10" s="496"/>
      <c r="CO10" s="495"/>
      <c r="CP10" s="257"/>
      <c r="CQ10" s="497"/>
      <c r="CR10" s="489">
        <f t="shared" ref="CR10:CT10" si="5">C10+F10+I10+L10+O10+R10+U10+X10+AA10+AD10+AG10+AJ10+AM10+AP10+AS10+AV10+AY10+BB10+BE10+BH10+BK10+BN10+BQ10+BT10+BW10+BZ10+CC10+CF10+CI10+CL10+CO10</f>
        <v>0</v>
      </c>
      <c r="CS10" s="489">
        <f t="shared" si="5"/>
        <v>0</v>
      </c>
      <c r="CT10" s="489">
        <f t="shared" si="5"/>
        <v>0</v>
      </c>
      <c r="CU10" s="467"/>
    </row>
    <row r="11" ht="11.25" customHeight="1">
      <c r="A11" s="490">
        <v>6.0</v>
      </c>
      <c r="B11" s="491" t="s">
        <v>35</v>
      </c>
      <c r="C11" s="492"/>
      <c r="D11" s="493"/>
      <c r="E11" s="494"/>
      <c r="F11" s="495"/>
      <c r="G11" s="257"/>
      <c r="H11" s="496"/>
      <c r="I11" s="495"/>
      <c r="J11" s="257"/>
      <c r="K11" s="496"/>
      <c r="L11" s="492"/>
      <c r="M11" s="493"/>
      <c r="N11" s="494"/>
      <c r="O11" s="492"/>
      <c r="P11" s="493"/>
      <c r="Q11" s="494"/>
      <c r="R11" s="495"/>
      <c r="S11" s="257"/>
      <c r="T11" s="496"/>
      <c r="U11" s="495"/>
      <c r="V11" s="257"/>
      <c r="W11" s="496"/>
      <c r="X11" s="495"/>
      <c r="Y11" s="257"/>
      <c r="Z11" s="496"/>
      <c r="AA11" s="495"/>
      <c r="AB11" s="257"/>
      <c r="AC11" s="496"/>
      <c r="AD11" s="495"/>
      <c r="AE11" s="257"/>
      <c r="AF11" s="496"/>
      <c r="AG11" s="492"/>
      <c r="AH11" s="493"/>
      <c r="AI11" s="494"/>
      <c r="AJ11" s="492"/>
      <c r="AK11" s="493"/>
      <c r="AL11" s="494"/>
      <c r="AM11" s="495"/>
      <c r="AN11" s="257"/>
      <c r="AO11" s="496"/>
      <c r="AP11" s="495"/>
      <c r="AQ11" s="257"/>
      <c r="AR11" s="496"/>
      <c r="AS11" s="495"/>
      <c r="AT11" s="257"/>
      <c r="AU11" s="496"/>
      <c r="AV11" s="495"/>
      <c r="AW11" s="257"/>
      <c r="AX11" s="496"/>
      <c r="AY11" s="495"/>
      <c r="AZ11" s="257"/>
      <c r="BA11" s="496"/>
      <c r="BB11" s="492"/>
      <c r="BC11" s="493"/>
      <c r="BD11" s="494"/>
      <c r="BE11" s="492"/>
      <c r="BF11" s="493"/>
      <c r="BG11" s="494"/>
      <c r="BH11" s="495"/>
      <c r="BI11" s="257"/>
      <c r="BJ11" s="496"/>
      <c r="BK11" s="495"/>
      <c r="BL11" s="257"/>
      <c r="BM11" s="496"/>
      <c r="BN11" s="495"/>
      <c r="BO11" s="257"/>
      <c r="BP11" s="496"/>
      <c r="BQ11" s="495"/>
      <c r="BR11" s="257"/>
      <c r="BS11" s="496"/>
      <c r="BT11" s="495"/>
      <c r="BU11" s="257"/>
      <c r="BV11" s="496"/>
      <c r="BW11" s="492"/>
      <c r="BX11" s="493"/>
      <c r="BY11" s="494"/>
      <c r="BZ11" s="492"/>
      <c r="CA11" s="493"/>
      <c r="CB11" s="494"/>
      <c r="CC11" s="492"/>
      <c r="CD11" s="493"/>
      <c r="CE11" s="494"/>
      <c r="CF11" s="492"/>
      <c r="CG11" s="493"/>
      <c r="CH11" s="494"/>
      <c r="CI11" s="492"/>
      <c r="CJ11" s="493"/>
      <c r="CK11" s="494"/>
      <c r="CL11" s="495"/>
      <c r="CM11" s="257"/>
      <c r="CN11" s="496"/>
      <c r="CO11" s="495"/>
      <c r="CP11" s="257"/>
      <c r="CQ11" s="497"/>
      <c r="CR11" s="489">
        <f t="shared" ref="CR11:CT11" si="6">C11+F11+I11+L11+O11+R11+U11+X11+AA11+AD11+AG11+AJ11+AM11+AP11+AS11+AV11+AY11+BB11+BE11+BH11+BK11+BN11+BQ11+BT11+BW11+BZ11+CC11+CF11+CI11+CL11+CO11</f>
        <v>0</v>
      </c>
      <c r="CS11" s="489">
        <f t="shared" si="6"/>
        <v>0</v>
      </c>
      <c r="CT11" s="489">
        <f t="shared" si="6"/>
        <v>0</v>
      </c>
      <c r="CU11" s="467"/>
    </row>
    <row r="12" ht="11.25" customHeight="1">
      <c r="A12" s="498">
        <v>7.0</v>
      </c>
      <c r="B12" s="491" t="s">
        <v>39</v>
      </c>
      <c r="C12" s="492"/>
      <c r="D12" s="493"/>
      <c r="E12" s="494"/>
      <c r="F12" s="495"/>
      <c r="G12" s="257"/>
      <c r="H12" s="496"/>
      <c r="I12" s="495"/>
      <c r="J12" s="257"/>
      <c r="K12" s="496"/>
      <c r="L12" s="492"/>
      <c r="M12" s="493"/>
      <c r="N12" s="494"/>
      <c r="O12" s="492"/>
      <c r="P12" s="493"/>
      <c r="Q12" s="494"/>
      <c r="R12" s="495"/>
      <c r="S12" s="257"/>
      <c r="T12" s="496"/>
      <c r="U12" s="495"/>
      <c r="V12" s="257"/>
      <c r="W12" s="496"/>
      <c r="X12" s="495"/>
      <c r="Y12" s="257"/>
      <c r="Z12" s="496"/>
      <c r="AA12" s="495"/>
      <c r="AB12" s="257"/>
      <c r="AC12" s="496"/>
      <c r="AD12" s="495"/>
      <c r="AE12" s="257"/>
      <c r="AF12" s="496"/>
      <c r="AG12" s="492"/>
      <c r="AH12" s="493"/>
      <c r="AI12" s="494"/>
      <c r="AJ12" s="492"/>
      <c r="AK12" s="493"/>
      <c r="AL12" s="494"/>
      <c r="AM12" s="495"/>
      <c r="AN12" s="257"/>
      <c r="AO12" s="496"/>
      <c r="AP12" s="495"/>
      <c r="AQ12" s="257"/>
      <c r="AR12" s="496"/>
      <c r="AS12" s="495"/>
      <c r="AT12" s="257"/>
      <c r="AU12" s="496"/>
      <c r="AV12" s="495"/>
      <c r="AW12" s="257"/>
      <c r="AX12" s="496"/>
      <c r="AY12" s="495"/>
      <c r="AZ12" s="257"/>
      <c r="BA12" s="496"/>
      <c r="BB12" s="492"/>
      <c r="BC12" s="493"/>
      <c r="BD12" s="494"/>
      <c r="BE12" s="492"/>
      <c r="BF12" s="493"/>
      <c r="BG12" s="494"/>
      <c r="BH12" s="495"/>
      <c r="BI12" s="257"/>
      <c r="BJ12" s="496"/>
      <c r="BK12" s="495"/>
      <c r="BL12" s="257"/>
      <c r="BM12" s="496"/>
      <c r="BN12" s="495"/>
      <c r="BO12" s="257"/>
      <c r="BP12" s="496"/>
      <c r="BQ12" s="495"/>
      <c r="BR12" s="257"/>
      <c r="BS12" s="496"/>
      <c r="BT12" s="495"/>
      <c r="BU12" s="257"/>
      <c r="BV12" s="496"/>
      <c r="BW12" s="492"/>
      <c r="BX12" s="493"/>
      <c r="BY12" s="494"/>
      <c r="BZ12" s="492"/>
      <c r="CA12" s="493"/>
      <c r="CB12" s="494"/>
      <c r="CC12" s="492"/>
      <c r="CD12" s="493"/>
      <c r="CE12" s="494"/>
      <c r="CF12" s="492"/>
      <c r="CG12" s="493"/>
      <c r="CH12" s="494"/>
      <c r="CI12" s="492"/>
      <c r="CJ12" s="493"/>
      <c r="CK12" s="494"/>
      <c r="CL12" s="495"/>
      <c r="CM12" s="257"/>
      <c r="CN12" s="496"/>
      <c r="CO12" s="495"/>
      <c r="CP12" s="257"/>
      <c r="CQ12" s="497"/>
      <c r="CR12" s="489">
        <f t="shared" ref="CR12:CT12" si="7">C12+F12+I12+L12+O12+R12+U12+X12+AA12+AD12+AG12+AJ12+AM12+AP12+AS12+AV12+AY12+BB12+BE12+BH12+BK12+BN12+BQ12+BT12+BW12+BZ12+CC12+CF12+CI12+CL12+CO12</f>
        <v>0</v>
      </c>
      <c r="CS12" s="489">
        <f t="shared" si="7"/>
        <v>0</v>
      </c>
      <c r="CT12" s="489">
        <f t="shared" si="7"/>
        <v>0</v>
      </c>
      <c r="CU12" s="467"/>
    </row>
    <row r="13" ht="11.25" customHeight="1">
      <c r="A13" s="490">
        <v>8.0</v>
      </c>
      <c r="B13" s="491" t="s">
        <v>49</v>
      </c>
      <c r="C13" s="492"/>
      <c r="D13" s="493"/>
      <c r="E13" s="494"/>
      <c r="F13" s="495"/>
      <c r="G13" s="257"/>
      <c r="H13" s="496"/>
      <c r="I13" s="495"/>
      <c r="J13" s="257"/>
      <c r="K13" s="496"/>
      <c r="L13" s="492"/>
      <c r="M13" s="493"/>
      <c r="N13" s="494"/>
      <c r="O13" s="492"/>
      <c r="P13" s="493"/>
      <c r="Q13" s="494"/>
      <c r="R13" s="495"/>
      <c r="S13" s="257"/>
      <c r="T13" s="496"/>
      <c r="U13" s="495"/>
      <c r="V13" s="257"/>
      <c r="W13" s="496"/>
      <c r="X13" s="495"/>
      <c r="Y13" s="257"/>
      <c r="Z13" s="496"/>
      <c r="AA13" s="495"/>
      <c r="AB13" s="257"/>
      <c r="AC13" s="496"/>
      <c r="AD13" s="495"/>
      <c r="AE13" s="257"/>
      <c r="AF13" s="496"/>
      <c r="AG13" s="492"/>
      <c r="AH13" s="493"/>
      <c r="AI13" s="494"/>
      <c r="AJ13" s="492"/>
      <c r="AK13" s="493"/>
      <c r="AL13" s="494"/>
      <c r="AM13" s="495"/>
      <c r="AN13" s="257"/>
      <c r="AO13" s="496"/>
      <c r="AP13" s="495"/>
      <c r="AQ13" s="257"/>
      <c r="AR13" s="496"/>
      <c r="AS13" s="495"/>
      <c r="AT13" s="257"/>
      <c r="AU13" s="496"/>
      <c r="AV13" s="495"/>
      <c r="AW13" s="257"/>
      <c r="AX13" s="496"/>
      <c r="AY13" s="495"/>
      <c r="AZ13" s="257"/>
      <c r="BA13" s="496"/>
      <c r="BB13" s="492"/>
      <c r="BC13" s="493"/>
      <c r="BD13" s="494"/>
      <c r="BE13" s="492"/>
      <c r="BF13" s="493"/>
      <c r="BG13" s="494"/>
      <c r="BH13" s="495">
        <v>1.0</v>
      </c>
      <c r="BI13" s="257"/>
      <c r="BJ13" s="496"/>
      <c r="BK13" s="495">
        <v>1.0</v>
      </c>
      <c r="BL13" s="257"/>
      <c r="BM13" s="496"/>
      <c r="BN13" s="495"/>
      <c r="BO13" s="257"/>
      <c r="BP13" s="496"/>
      <c r="BQ13" s="495"/>
      <c r="BR13" s="257"/>
      <c r="BS13" s="496"/>
      <c r="BT13" s="495"/>
      <c r="BU13" s="257"/>
      <c r="BV13" s="496"/>
      <c r="BW13" s="492"/>
      <c r="BX13" s="493"/>
      <c r="BY13" s="494"/>
      <c r="BZ13" s="492"/>
      <c r="CA13" s="493"/>
      <c r="CB13" s="494"/>
      <c r="CC13" s="492"/>
      <c r="CD13" s="493"/>
      <c r="CE13" s="494"/>
      <c r="CF13" s="492"/>
      <c r="CG13" s="493"/>
      <c r="CH13" s="494"/>
      <c r="CI13" s="492"/>
      <c r="CJ13" s="493"/>
      <c r="CK13" s="494"/>
      <c r="CL13" s="495"/>
      <c r="CM13" s="257"/>
      <c r="CN13" s="496"/>
      <c r="CO13" s="495"/>
      <c r="CP13" s="257"/>
      <c r="CQ13" s="497"/>
      <c r="CR13" s="489">
        <f t="shared" ref="CR13:CT13" si="8">C13+F13+I13+L13+O13+R13+U13+X13+AA13+AD13+AG13+AJ13+AM13+AP13+AS13+AV13+AY13+BB13+BE13+BH13+BK13+BN13+BQ13+BT13+BW13+BZ13+CC13+CF13+CI13+CL13+CO13</f>
        <v>2</v>
      </c>
      <c r="CS13" s="489">
        <f t="shared" si="8"/>
        <v>0</v>
      </c>
      <c r="CT13" s="489">
        <f t="shared" si="8"/>
        <v>0</v>
      </c>
      <c r="CU13" s="467"/>
    </row>
    <row r="14" ht="11.25" customHeight="1">
      <c r="A14" s="498">
        <v>9.0</v>
      </c>
      <c r="B14" s="491" t="s">
        <v>61</v>
      </c>
      <c r="C14" s="492"/>
      <c r="D14" s="493"/>
      <c r="E14" s="494"/>
      <c r="F14" s="495"/>
      <c r="G14" s="257"/>
      <c r="H14" s="496"/>
      <c r="I14" s="495"/>
      <c r="J14" s="257"/>
      <c r="K14" s="496"/>
      <c r="L14" s="492"/>
      <c r="M14" s="493"/>
      <c r="N14" s="494"/>
      <c r="O14" s="492"/>
      <c r="P14" s="493"/>
      <c r="Q14" s="494"/>
      <c r="R14" s="495"/>
      <c r="S14" s="257"/>
      <c r="T14" s="496"/>
      <c r="U14" s="495"/>
      <c r="V14" s="257"/>
      <c r="W14" s="496"/>
      <c r="X14" s="495"/>
      <c r="Y14" s="257"/>
      <c r="Z14" s="496"/>
      <c r="AA14" s="495"/>
      <c r="AB14" s="257"/>
      <c r="AC14" s="496"/>
      <c r="AD14" s="495"/>
      <c r="AE14" s="257"/>
      <c r="AF14" s="496"/>
      <c r="AG14" s="492"/>
      <c r="AH14" s="493"/>
      <c r="AI14" s="494"/>
      <c r="AJ14" s="492"/>
      <c r="AK14" s="493"/>
      <c r="AL14" s="494"/>
      <c r="AM14" s="495"/>
      <c r="AN14" s="257"/>
      <c r="AO14" s="496"/>
      <c r="AP14" s="495"/>
      <c r="AQ14" s="257"/>
      <c r="AR14" s="496"/>
      <c r="AS14" s="495"/>
      <c r="AT14" s="257"/>
      <c r="AU14" s="496"/>
      <c r="AV14" s="495"/>
      <c r="AW14" s="257"/>
      <c r="AX14" s="496"/>
      <c r="AY14" s="495"/>
      <c r="AZ14" s="257"/>
      <c r="BA14" s="496"/>
      <c r="BB14" s="492"/>
      <c r="BC14" s="493"/>
      <c r="BD14" s="494"/>
      <c r="BE14" s="492"/>
      <c r="BF14" s="493"/>
      <c r="BG14" s="494"/>
      <c r="BH14" s="495"/>
      <c r="BI14" s="257"/>
      <c r="BJ14" s="496"/>
      <c r="BK14" s="495"/>
      <c r="BL14" s="257"/>
      <c r="BM14" s="496"/>
      <c r="BN14" s="495"/>
      <c r="BO14" s="257"/>
      <c r="BP14" s="496"/>
      <c r="BQ14" s="495"/>
      <c r="BR14" s="257"/>
      <c r="BS14" s="496"/>
      <c r="BT14" s="495"/>
      <c r="BU14" s="257"/>
      <c r="BV14" s="496"/>
      <c r="BW14" s="492"/>
      <c r="BX14" s="493"/>
      <c r="BY14" s="494"/>
      <c r="BZ14" s="492"/>
      <c r="CA14" s="493"/>
      <c r="CB14" s="494"/>
      <c r="CC14" s="492"/>
      <c r="CD14" s="493"/>
      <c r="CE14" s="494"/>
      <c r="CF14" s="492"/>
      <c r="CG14" s="493"/>
      <c r="CH14" s="494"/>
      <c r="CI14" s="492"/>
      <c r="CJ14" s="493"/>
      <c r="CK14" s="494"/>
      <c r="CL14" s="495"/>
      <c r="CM14" s="257"/>
      <c r="CN14" s="496"/>
      <c r="CO14" s="495"/>
      <c r="CP14" s="257"/>
      <c r="CQ14" s="497"/>
      <c r="CR14" s="489">
        <f t="shared" ref="CR14:CT14" si="9">C14+F14+I14+L14+O14+R14+U14+X14+AA14+AD14+AG14+AJ14+AM14+AP14+AS14+AV14+AY14+BB14+BE14+BH14+BK14+BN14+BQ14+BT14+BW14+BZ14+CC14+CF14+CI14+CL14+CO14</f>
        <v>0</v>
      </c>
      <c r="CS14" s="489">
        <f t="shared" si="9"/>
        <v>0</v>
      </c>
      <c r="CT14" s="489">
        <f t="shared" si="9"/>
        <v>0</v>
      </c>
      <c r="CU14" s="467"/>
    </row>
    <row r="15" ht="11.25" customHeight="1">
      <c r="A15" s="490">
        <v>10.0</v>
      </c>
      <c r="B15" s="491" t="s">
        <v>66</v>
      </c>
      <c r="C15" s="492"/>
      <c r="D15" s="493"/>
      <c r="E15" s="494"/>
      <c r="F15" s="495"/>
      <c r="G15" s="257"/>
      <c r="H15" s="496"/>
      <c r="I15" s="495"/>
      <c r="J15" s="257"/>
      <c r="K15" s="496"/>
      <c r="L15" s="492"/>
      <c r="M15" s="493"/>
      <c r="N15" s="494"/>
      <c r="O15" s="492"/>
      <c r="P15" s="493"/>
      <c r="Q15" s="494"/>
      <c r="R15" s="495"/>
      <c r="S15" s="257">
        <v>1.0</v>
      </c>
      <c r="T15" s="496"/>
      <c r="U15" s="495"/>
      <c r="V15" s="257"/>
      <c r="W15" s="496"/>
      <c r="X15" s="495"/>
      <c r="Y15" s="257"/>
      <c r="Z15" s="496"/>
      <c r="AA15" s="495"/>
      <c r="AB15" s="257"/>
      <c r="AC15" s="496"/>
      <c r="AD15" s="495"/>
      <c r="AE15" s="257"/>
      <c r="AF15" s="496"/>
      <c r="AG15" s="492"/>
      <c r="AH15" s="493"/>
      <c r="AI15" s="494"/>
      <c r="AJ15" s="492"/>
      <c r="AK15" s="493"/>
      <c r="AL15" s="494"/>
      <c r="AM15" s="495"/>
      <c r="AN15" s="257"/>
      <c r="AO15" s="496"/>
      <c r="AP15" s="495"/>
      <c r="AQ15" s="257"/>
      <c r="AR15" s="496"/>
      <c r="AS15" s="495"/>
      <c r="AT15" s="257"/>
      <c r="AU15" s="496"/>
      <c r="AV15" s="495"/>
      <c r="AW15" s="257"/>
      <c r="AX15" s="496"/>
      <c r="AY15" s="495"/>
      <c r="AZ15" s="257"/>
      <c r="BA15" s="496"/>
      <c r="BB15" s="492"/>
      <c r="BC15" s="493"/>
      <c r="BD15" s="494"/>
      <c r="BE15" s="492"/>
      <c r="BF15" s="493"/>
      <c r="BG15" s="494"/>
      <c r="BH15" s="495"/>
      <c r="BI15" s="257"/>
      <c r="BJ15" s="496"/>
      <c r="BK15" s="495">
        <v>1.0</v>
      </c>
      <c r="BL15" s="257"/>
      <c r="BM15" s="496"/>
      <c r="BN15" s="495"/>
      <c r="BO15" s="257"/>
      <c r="BP15" s="496"/>
      <c r="BQ15" s="495"/>
      <c r="BR15" s="257"/>
      <c r="BS15" s="496"/>
      <c r="BT15" s="495"/>
      <c r="BU15" s="257"/>
      <c r="BV15" s="496"/>
      <c r="BW15" s="492"/>
      <c r="BX15" s="493"/>
      <c r="BY15" s="494"/>
      <c r="BZ15" s="492"/>
      <c r="CA15" s="493"/>
      <c r="CB15" s="494"/>
      <c r="CC15" s="492"/>
      <c r="CD15" s="493"/>
      <c r="CE15" s="494"/>
      <c r="CF15" s="492"/>
      <c r="CG15" s="493"/>
      <c r="CH15" s="494"/>
      <c r="CI15" s="492"/>
      <c r="CJ15" s="493"/>
      <c r="CK15" s="494"/>
      <c r="CL15" s="495"/>
      <c r="CM15" s="257"/>
      <c r="CN15" s="496"/>
      <c r="CO15" s="495"/>
      <c r="CP15" s="257"/>
      <c r="CQ15" s="497"/>
      <c r="CR15" s="489">
        <f t="shared" ref="CR15:CT15" si="10">C15+F15+I15+L15+O15+R15+U15+X15+AA15+AD15+AG15+AJ15+AM15+AP15+AS15+AV15+AY15+BB15+BE15+BH15+BK15+BN15+BQ15+BT15+BW15+BZ15+CC15+CF15+CI15+CL15+CO15</f>
        <v>1</v>
      </c>
      <c r="CS15" s="489">
        <f t="shared" si="10"/>
        <v>1</v>
      </c>
      <c r="CT15" s="489">
        <f t="shared" si="10"/>
        <v>0</v>
      </c>
      <c r="CU15" s="467"/>
    </row>
    <row r="16" ht="11.25" customHeight="1">
      <c r="A16" s="498">
        <v>11.0</v>
      </c>
      <c r="B16" s="491" t="s">
        <v>69</v>
      </c>
      <c r="C16" s="492"/>
      <c r="D16" s="493"/>
      <c r="E16" s="494"/>
      <c r="F16" s="495"/>
      <c r="G16" s="257">
        <v>1.0</v>
      </c>
      <c r="H16" s="496"/>
      <c r="I16" s="495"/>
      <c r="J16" s="257">
        <v>1.0</v>
      </c>
      <c r="K16" s="496"/>
      <c r="L16" s="492"/>
      <c r="M16" s="493"/>
      <c r="N16" s="494"/>
      <c r="O16" s="492"/>
      <c r="P16" s="493"/>
      <c r="Q16" s="494"/>
      <c r="R16" s="495"/>
      <c r="S16" s="257"/>
      <c r="T16" s="496"/>
      <c r="U16" s="495"/>
      <c r="V16" s="257"/>
      <c r="W16" s="496"/>
      <c r="X16" s="495"/>
      <c r="Y16" s="257"/>
      <c r="Z16" s="496"/>
      <c r="AA16" s="495"/>
      <c r="AB16" s="257"/>
      <c r="AC16" s="496"/>
      <c r="AD16" s="495"/>
      <c r="AE16" s="257"/>
      <c r="AF16" s="496"/>
      <c r="AG16" s="492"/>
      <c r="AH16" s="493"/>
      <c r="AI16" s="494"/>
      <c r="AJ16" s="492"/>
      <c r="AK16" s="493"/>
      <c r="AL16" s="494"/>
      <c r="AM16" s="495"/>
      <c r="AN16" s="257"/>
      <c r="AO16" s="496"/>
      <c r="AP16" s="495"/>
      <c r="AQ16" s="257"/>
      <c r="AR16" s="496"/>
      <c r="AS16" s="495"/>
      <c r="AT16" s="257"/>
      <c r="AU16" s="496"/>
      <c r="AV16" s="495"/>
      <c r="AW16" s="257"/>
      <c r="AX16" s="496"/>
      <c r="AY16" s="495"/>
      <c r="AZ16" s="257"/>
      <c r="BA16" s="496"/>
      <c r="BB16" s="492"/>
      <c r="BC16" s="493"/>
      <c r="BD16" s="494"/>
      <c r="BE16" s="492"/>
      <c r="BF16" s="493"/>
      <c r="BG16" s="494"/>
      <c r="BH16" s="495"/>
      <c r="BI16" s="257"/>
      <c r="BJ16" s="496"/>
      <c r="BK16" s="495"/>
      <c r="BL16" s="257"/>
      <c r="BM16" s="496"/>
      <c r="BN16" s="495"/>
      <c r="BO16" s="257"/>
      <c r="BP16" s="496"/>
      <c r="BQ16" s="495"/>
      <c r="BR16" s="257"/>
      <c r="BS16" s="496"/>
      <c r="BT16" s="495"/>
      <c r="BU16" s="257"/>
      <c r="BV16" s="496"/>
      <c r="BW16" s="492"/>
      <c r="BX16" s="493"/>
      <c r="BY16" s="494"/>
      <c r="BZ16" s="492"/>
      <c r="CA16" s="493"/>
      <c r="CB16" s="494"/>
      <c r="CC16" s="492"/>
      <c r="CD16" s="493"/>
      <c r="CE16" s="494"/>
      <c r="CF16" s="492"/>
      <c r="CG16" s="493"/>
      <c r="CH16" s="494"/>
      <c r="CI16" s="492"/>
      <c r="CJ16" s="493"/>
      <c r="CK16" s="494"/>
      <c r="CL16" s="495"/>
      <c r="CM16" s="257"/>
      <c r="CN16" s="496"/>
      <c r="CO16" s="495"/>
      <c r="CP16" s="257"/>
      <c r="CQ16" s="497"/>
      <c r="CR16" s="489">
        <f t="shared" ref="CR16:CT16" si="11">C16+F16+I16+L16+O16+R16+U16+X16+AA16+AD16+AG16+AJ16+AM16+AP16+AS16+AV16+AY16+BB16+BE16+BH16+BK16+BN16+BQ16+BT16+BW16+BZ16+CC16+CF16+CI16+CL16+CO16</f>
        <v>0</v>
      </c>
      <c r="CS16" s="489">
        <f t="shared" si="11"/>
        <v>2</v>
      </c>
      <c r="CT16" s="489">
        <f t="shared" si="11"/>
        <v>0</v>
      </c>
      <c r="CU16" s="467"/>
    </row>
    <row r="17" ht="11.25" customHeight="1">
      <c r="A17" s="490">
        <v>12.0</v>
      </c>
      <c r="B17" s="491" t="s">
        <v>72</v>
      </c>
      <c r="C17" s="492"/>
      <c r="D17" s="493"/>
      <c r="E17" s="494"/>
      <c r="F17" s="495"/>
      <c r="G17" s="257"/>
      <c r="H17" s="496"/>
      <c r="I17" s="495"/>
      <c r="J17" s="257"/>
      <c r="K17" s="496"/>
      <c r="L17" s="492"/>
      <c r="M17" s="493"/>
      <c r="N17" s="494"/>
      <c r="O17" s="492"/>
      <c r="P17" s="493"/>
      <c r="Q17" s="494"/>
      <c r="R17" s="495"/>
      <c r="S17" s="257"/>
      <c r="T17" s="496"/>
      <c r="U17" s="495"/>
      <c r="V17" s="257"/>
      <c r="W17" s="496"/>
      <c r="X17" s="495"/>
      <c r="Y17" s="257"/>
      <c r="Z17" s="496"/>
      <c r="AA17" s="495"/>
      <c r="AB17" s="257"/>
      <c r="AC17" s="496"/>
      <c r="AD17" s="495"/>
      <c r="AE17" s="257"/>
      <c r="AF17" s="496"/>
      <c r="AG17" s="492"/>
      <c r="AH17" s="493"/>
      <c r="AI17" s="494"/>
      <c r="AJ17" s="492"/>
      <c r="AK17" s="493"/>
      <c r="AL17" s="494"/>
      <c r="AM17" s="495"/>
      <c r="AN17" s="257"/>
      <c r="AO17" s="496"/>
      <c r="AP17" s="495"/>
      <c r="AQ17" s="257"/>
      <c r="AR17" s="496"/>
      <c r="AS17" s="495"/>
      <c r="AT17" s="257"/>
      <c r="AU17" s="496">
        <v>1.0</v>
      </c>
      <c r="AV17" s="495"/>
      <c r="AW17" s="257"/>
      <c r="AX17" s="496"/>
      <c r="AY17" s="495"/>
      <c r="AZ17" s="257"/>
      <c r="BA17" s="496"/>
      <c r="BB17" s="492"/>
      <c r="BC17" s="493"/>
      <c r="BD17" s="494"/>
      <c r="BE17" s="492"/>
      <c r="BF17" s="493"/>
      <c r="BG17" s="494"/>
      <c r="BH17" s="495"/>
      <c r="BI17" s="257"/>
      <c r="BJ17" s="496"/>
      <c r="BK17" s="495"/>
      <c r="BL17" s="257"/>
      <c r="BM17" s="496"/>
      <c r="BN17" s="495"/>
      <c r="BO17" s="257"/>
      <c r="BP17" s="496"/>
      <c r="BQ17" s="495"/>
      <c r="BR17" s="257"/>
      <c r="BS17" s="496"/>
      <c r="BT17" s="495"/>
      <c r="BU17" s="257"/>
      <c r="BV17" s="496"/>
      <c r="BW17" s="492"/>
      <c r="BX17" s="493"/>
      <c r="BY17" s="494"/>
      <c r="BZ17" s="492"/>
      <c r="CA17" s="493"/>
      <c r="CB17" s="494"/>
      <c r="CC17" s="492"/>
      <c r="CD17" s="493"/>
      <c r="CE17" s="494"/>
      <c r="CF17" s="492"/>
      <c r="CG17" s="493"/>
      <c r="CH17" s="494"/>
      <c r="CI17" s="492"/>
      <c r="CJ17" s="493"/>
      <c r="CK17" s="494"/>
      <c r="CL17" s="495"/>
      <c r="CM17" s="257"/>
      <c r="CN17" s="496"/>
      <c r="CO17" s="495"/>
      <c r="CP17" s="257"/>
      <c r="CQ17" s="497"/>
      <c r="CR17" s="489">
        <f t="shared" ref="CR17:CT17" si="12">C17+F17+I17+L17+O17+R17+U17+X17+AA17+AD17+AG17+AJ17+AM17+AP17+AS17+AV17+AY17+BB17+BE17+BH17+BK17+BN17+BQ17+BT17+BW17+BZ17+CC17+CF17+CI17+CL17+CO17</f>
        <v>0</v>
      </c>
      <c r="CS17" s="489">
        <f t="shared" si="12"/>
        <v>0</v>
      </c>
      <c r="CT17" s="489">
        <f t="shared" si="12"/>
        <v>1</v>
      </c>
      <c r="CU17" s="467"/>
    </row>
    <row r="18" ht="11.25" customHeight="1">
      <c r="A18" s="498">
        <v>13.0</v>
      </c>
      <c r="B18" s="491" t="s">
        <v>75</v>
      </c>
      <c r="C18" s="492"/>
      <c r="D18" s="493"/>
      <c r="E18" s="494"/>
      <c r="F18" s="495"/>
      <c r="G18" s="257"/>
      <c r="H18" s="496"/>
      <c r="I18" s="495"/>
      <c r="J18" s="257"/>
      <c r="K18" s="496"/>
      <c r="L18" s="492"/>
      <c r="M18" s="493"/>
      <c r="N18" s="494"/>
      <c r="O18" s="492"/>
      <c r="P18" s="493"/>
      <c r="Q18" s="494"/>
      <c r="R18" s="495"/>
      <c r="S18" s="257"/>
      <c r="T18" s="496"/>
      <c r="U18" s="495"/>
      <c r="V18" s="257"/>
      <c r="W18" s="496"/>
      <c r="X18" s="495"/>
      <c r="Y18" s="257"/>
      <c r="Z18" s="496"/>
      <c r="AA18" s="495"/>
      <c r="AB18" s="257"/>
      <c r="AC18" s="496"/>
      <c r="AD18" s="495"/>
      <c r="AE18" s="257"/>
      <c r="AF18" s="496"/>
      <c r="AG18" s="492"/>
      <c r="AH18" s="493"/>
      <c r="AI18" s="494"/>
      <c r="AJ18" s="492"/>
      <c r="AK18" s="493"/>
      <c r="AL18" s="494"/>
      <c r="AM18" s="495"/>
      <c r="AN18" s="257"/>
      <c r="AO18" s="496"/>
      <c r="AP18" s="495"/>
      <c r="AQ18" s="257"/>
      <c r="AR18" s="496"/>
      <c r="AS18" s="495"/>
      <c r="AT18" s="257"/>
      <c r="AU18" s="496"/>
      <c r="AV18" s="495"/>
      <c r="AW18" s="257"/>
      <c r="AX18" s="496"/>
      <c r="AY18" s="495"/>
      <c r="AZ18" s="257"/>
      <c r="BA18" s="496"/>
      <c r="BB18" s="492"/>
      <c r="BC18" s="493"/>
      <c r="BD18" s="494"/>
      <c r="BE18" s="492"/>
      <c r="BF18" s="493"/>
      <c r="BG18" s="494"/>
      <c r="BH18" s="495"/>
      <c r="BI18" s="257"/>
      <c r="BJ18" s="496"/>
      <c r="BK18" s="495"/>
      <c r="BL18" s="257"/>
      <c r="BM18" s="496"/>
      <c r="BN18" s="495"/>
      <c r="BO18" s="257"/>
      <c r="BP18" s="496"/>
      <c r="BQ18" s="495"/>
      <c r="BR18" s="257"/>
      <c r="BS18" s="496"/>
      <c r="BT18" s="495"/>
      <c r="BU18" s="257"/>
      <c r="BV18" s="496"/>
      <c r="BW18" s="492"/>
      <c r="BX18" s="493"/>
      <c r="BY18" s="494"/>
      <c r="BZ18" s="492"/>
      <c r="CA18" s="493"/>
      <c r="CB18" s="494"/>
      <c r="CC18" s="492"/>
      <c r="CD18" s="493"/>
      <c r="CE18" s="494"/>
      <c r="CF18" s="492"/>
      <c r="CG18" s="493"/>
      <c r="CH18" s="494"/>
      <c r="CI18" s="492"/>
      <c r="CJ18" s="493"/>
      <c r="CK18" s="494"/>
      <c r="CL18" s="495"/>
      <c r="CM18" s="257"/>
      <c r="CN18" s="496"/>
      <c r="CO18" s="495"/>
      <c r="CP18" s="257"/>
      <c r="CQ18" s="497"/>
      <c r="CR18" s="489">
        <f t="shared" ref="CR18:CT18" si="13">C18+F18+I18+L18+O18+R18+U18+X18+AA18+AD18+AG18+AJ18+AM18+AP18+AS18+AV18+AY18+BB18+BE18+BH18+BK18+BN18+BQ18+BT18+BW18+BZ18+CC18+CF18+CI18+CL18+CO18</f>
        <v>0</v>
      </c>
      <c r="CS18" s="489">
        <f t="shared" si="13"/>
        <v>0</v>
      </c>
      <c r="CT18" s="489">
        <f t="shared" si="13"/>
        <v>0</v>
      </c>
      <c r="CU18" s="467"/>
    </row>
    <row r="19" ht="11.25" customHeight="1">
      <c r="A19" s="490">
        <v>14.0</v>
      </c>
      <c r="B19" s="491" t="s">
        <v>77</v>
      </c>
      <c r="C19" s="492"/>
      <c r="D19" s="493"/>
      <c r="E19" s="494"/>
      <c r="F19" s="495"/>
      <c r="G19" s="257"/>
      <c r="H19" s="496"/>
      <c r="I19" s="495"/>
      <c r="J19" s="257"/>
      <c r="K19" s="496"/>
      <c r="L19" s="492"/>
      <c r="M19" s="493"/>
      <c r="N19" s="494"/>
      <c r="O19" s="492"/>
      <c r="P19" s="493"/>
      <c r="Q19" s="494"/>
      <c r="R19" s="495"/>
      <c r="S19" s="257"/>
      <c r="T19" s="496"/>
      <c r="U19" s="495"/>
      <c r="V19" s="257"/>
      <c r="W19" s="496"/>
      <c r="X19" s="495"/>
      <c r="Y19" s="257"/>
      <c r="Z19" s="496"/>
      <c r="AA19" s="495"/>
      <c r="AB19" s="257"/>
      <c r="AC19" s="496"/>
      <c r="AD19" s="495"/>
      <c r="AE19" s="257"/>
      <c r="AF19" s="496"/>
      <c r="AG19" s="492"/>
      <c r="AH19" s="493"/>
      <c r="AI19" s="494"/>
      <c r="AJ19" s="492"/>
      <c r="AK19" s="493"/>
      <c r="AL19" s="494"/>
      <c r="AM19" s="495"/>
      <c r="AN19" s="257"/>
      <c r="AO19" s="496"/>
      <c r="AP19" s="495"/>
      <c r="AQ19" s="257"/>
      <c r="AR19" s="496"/>
      <c r="AS19" s="495"/>
      <c r="AT19" s="257"/>
      <c r="AU19" s="496"/>
      <c r="AV19" s="495"/>
      <c r="AW19" s="257"/>
      <c r="AX19" s="496"/>
      <c r="AY19" s="495"/>
      <c r="AZ19" s="257"/>
      <c r="BA19" s="496"/>
      <c r="BB19" s="492"/>
      <c r="BC19" s="493"/>
      <c r="BD19" s="494"/>
      <c r="BE19" s="492"/>
      <c r="BF19" s="493"/>
      <c r="BG19" s="494"/>
      <c r="BH19" s="495"/>
      <c r="BI19" s="257"/>
      <c r="BJ19" s="496"/>
      <c r="BK19" s="495"/>
      <c r="BL19" s="257"/>
      <c r="BM19" s="496"/>
      <c r="BN19" s="495"/>
      <c r="BO19" s="257"/>
      <c r="BP19" s="496"/>
      <c r="BQ19" s="495"/>
      <c r="BR19" s="257"/>
      <c r="BS19" s="496"/>
      <c r="BT19" s="495"/>
      <c r="BU19" s="257"/>
      <c r="BV19" s="496"/>
      <c r="BW19" s="492"/>
      <c r="BX19" s="493"/>
      <c r="BY19" s="494"/>
      <c r="BZ19" s="492"/>
      <c r="CA19" s="493"/>
      <c r="CB19" s="494"/>
      <c r="CC19" s="492"/>
      <c r="CD19" s="493"/>
      <c r="CE19" s="494"/>
      <c r="CF19" s="492"/>
      <c r="CG19" s="493"/>
      <c r="CH19" s="494"/>
      <c r="CI19" s="492"/>
      <c r="CJ19" s="493"/>
      <c r="CK19" s="494"/>
      <c r="CL19" s="495"/>
      <c r="CM19" s="257"/>
      <c r="CN19" s="496"/>
      <c r="CO19" s="495"/>
      <c r="CP19" s="257"/>
      <c r="CQ19" s="497"/>
      <c r="CR19" s="489">
        <f t="shared" ref="CR19:CT19" si="14">C19+F19+I19+L19+O19+R19+U19+X19+AA19+AD19+AG19+AJ19+AM19+AP19+AS19+AV19+AY19+BB19+BE19+BH19+BK19+BN19+BQ19+BT19+BW19+BZ19+CC19+CF19+CI19+CL19+CO19</f>
        <v>0</v>
      </c>
      <c r="CS19" s="489">
        <f t="shared" si="14"/>
        <v>0</v>
      </c>
      <c r="CT19" s="489">
        <f t="shared" si="14"/>
        <v>0</v>
      </c>
      <c r="CU19" s="467"/>
    </row>
    <row r="20" ht="11.25" customHeight="1">
      <c r="A20" s="498">
        <v>15.0</v>
      </c>
      <c r="B20" s="499" t="s">
        <v>80</v>
      </c>
      <c r="C20" s="492"/>
      <c r="D20" s="493"/>
      <c r="E20" s="494"/>
      <c r="F20" s="495">
        <v>1.0</v>
      </c>
      <c r="G20" s="257"/>
      <c r="H20" s="496"/>
      <c r="I20" s="495"/>
      <c r="J20" s="257"/>
      <c r="K20" s="496">
        <v>1.0</v>
      </c>
      <c r="L20" s="492"/>
      <c r="M20" s="493"/>
      <c r="N20" s="494"/>
      <c r="O20" s="492"/>
      <c r="P20" s="493"/>
      <c r="Q20" s="494"/>
      <c r="R20" s="495"/>
      <c r="S20" s="257"/>
      <c r="T20" s="496"/>
      <c r="U20" s="495"/>
      <c r="V20" s="257"/>
      <c r="W20" s="496"/>
      <c r="X20" s="495"/>
      <c r="Y20" s="257"/>
      <c r="Z20" s="496"/>
      <c r="AA20" s="495"/>
      <c r="AB20" s="257"/>
      <c r="AC20" s="496"/>
      <c r="AD20" s="495"/>
      <c r="AE20" s="257"/>
      <c r="AF20" s="496"/>
      <c r="AG20" s="492"/>
      <c r="AH20" s="493"/>
      <c r="AI20" s="494"/>
      <c r="AJ20" s="492"/>
      <c r="AK20" s="493"/>
      <c r="AL20" s="494"/>
      <c r="AM20" s="495"/>
      <c r="AN20" s="257"/>
      <c r="AO20" s="496"/>
      <c r="AP20" s="495"/>
      <c r="AQ20" s="257"/>
      <c r="AR20" s="496"/>
      <c r="AS20" s="495"/>
      <c r="AT20" s="257"/>
      <c r="AU20" s="496"/>
      <c r="AV20" s="495"/>
      <c r="AW20" s="257"/>
      <c r="AX20" s="496"/>
      <c r="AY20" s="495"/>
      <c r="AZ20" s="257"/>
      <c r="BA20" s="496"/>
      <c r="BB20" s="492"/>
      <c r="BC20" s="493"/>
      <c r="BD20" s="494"/>
      <c r="BE20" s="492"/>
      <c r="BF20" s="493"/>
      <c r="BG20" s="494"/>
      <c r="BH20" s="495"/>
      <c r="BI20" s="257"/>
      <c r="BJ20" s="496"/>
      <c r="BK20" s="495"/>
      <c r="BL20" s="257"/>
      <c r="BM20" s="496"/>
      <c r="BN20" s="495"/>
      <c r="BO20" s="257"/>
      <c r="BP20" s="496"/>
      <c r="BQ20" s="495"/>
      <c r="BR20" s="257"/>
      <c r="BS20" s="496"/>
      <c r="BT20" s="495"/>
      <c r="BU20" s="257"/>
      <c r="BV20" s="496"/>
      <c r="BW20" s="492"/>
      <c r="BX20" s="493"/>
      <c r="BY20" s="494"/>
      <c r="BZ20" s="492"/>
      <c r="CA20" s="493"/>
      <c r="CB20" s="494"/>
      <c r="CC20" s="492"/>
      <c r="CD20" s="493"/>
      <c r="CE20" s="494"/>
      <c r="CF20" s="492"/>
      <c r="CG20" s="493"/>
      <c r="CH20" s="494"/>
      <c r="CI20" s="492"/>
      <c r="CJ20" s="493"/>
      <c r="CK20" s="494"/>
      <c r="CL20" s="495"/>
      <c r="CM20" s="257"/>
      <c r="CN20" s="496"/>
      <c r="CO20" s="495"/>
      <c r="CP20" s="257"/>
      <c r="CQ20" s="497"/>
      <c r="CR20" s="489">
        <f t="shared" ref="CR20:CT20" si="15">C20+F20+I20+L20+O20+R20+U20+X20+AA20+AD20+AG20+AJ20+AM20+AP20+AS20+AV20+AY20+BB20+BE20+BH20+BK20+BN20+BQ20+BT20+BW20+BZ20+CC20+CF20+CI20+CL20+CO20</f>
        <v>1</v>
      </c>
      <c r="CS20" s="489">
        <f t="shared" si="15"/>
        <v>0</v>
      </c>
      <c r="CT20" s="489">
        <f t="shared" si="15"/>
        <v>1</v>
      </c>
      <c r="CU20" s="467"/>
    </row>
    <row r="21" ht="11.25" customHeight="1">
      <c r="A21" s="490">
        <v>16.0</v>
      </c>
      <c r="B21" s="491" t="s">
        <v>89</v>
      </c>
      <c r="C21" s="492"/>
      <c r="D21" s="493"/>
      <c r="E21" s="494"/>
      <c r="F21" s="495"/>
      <c r="G21" s="257"/>
      <c r="H21" s="496"/>
      <c r="I21" s="495"/>
      <c r="J21" s="257"/>
      <c r="K21" s="496"/>
      <c r="L21" s="492"/>
      <c r="M21" s="493"/>
      <c r="N21" s="494"/>
      <c r="O21" s="492"/>
      <c r="P21" s="493"/>
      <c r="Q21" s="494"/>
      <c r="R21" s="495"/>
      <c r="S21" s="257"/>
      <c r="T21" s="496"/>
      <c r="U21" s="495"/>
      <c r="V21" s="257"/>
      <c r="W21" s="496"/>
      <c r="X21" s="495"/>
      <c r="Y21" s="257"/>
      <c r="Z21" s="496"/>
      <c r="AA21" s="495"/>
      <c r="AB21" s="257"/>
      <c r="AC21" s="496"/>
      <c r="AD21" s="495"/>
      <c r="AE21" s="257"/>
      <c r="AF21" s="496"/>
      <c r="AG21" s="492"/>
      <c r="AH21" s="493"/>
      <c r="AI21" s="494"/>
      <c r="AJ21" s="492"/>
      <c r="AK21" s="493"/>
      <c r="AL21" s="494"/>
      <c r="AM21" s="495"/>
      <c r="AN21" s="257"/>
      <c r="AO21" s="496"/>
      <c r="AP21" s="495"/>
      <c r="AQ21" s="257"/>
      <c r="AR21" s="496"/>
      <c r="AS21" s="495"/>
      <c r="AT21" s="257"/>
      <c r="AU21" s="496"/>
      <c r="AV21" s="495"/>
      <c r="AW21" s="257"/>
      <c r="AX21" s="496"/>
      <c r="AY21" s="495"/>
      <c r="AZ21" s="257">
        <v>1.0</v>
      </c>
      <c r="BA21" s="496"/>
      <c r="BB21" s="492"/>
      <c r="BC21" s="493"/>
      <c r="BD21" s="494"/>
      <c r="BE21" s="492"/>
      <c r="BF21" s="493"/>
      <c r="BG21" s="494"/>
      <c r="BH21" s="495"/>
      <c r="BI21" s="257"/>
      <c r="BJ21" s="496"/>
      <c r="BK21" s="495"/>
      <c r="BL21" s="257"/>
      <c r="BM21" s="496"/>
      <c r="BN21" s="495"/>
      <c r="BO21" s="257"/>
      <c r="BP21" s="496"/>
      <c r="BQ21" s="495"/>
      <c r="BR21" s="257"/>
      <c r="BS21" s="496"/>
      <c r="BT21" s="495"/>
      <c r="BU21" s="257"/>
      <c r="BV21" s="496"/>
      <c r="BW21" s="492"/>
      <c r="BX21" s="493"/>
      <c r="BY21" s="494"/>
      <c r="BZ21" s="492"/>
      <c r="CA21" s="493"/>
      <c r="CB21" s="494"/>
      <c r="CC21" s="492"/>
      <c r="CD21" s="493"/>
      <c r="CE21" s="494"/>
      <c r="CF21" s="492"/>
      <c r="CG21" s="493"/>
      <c r="CH21" s="494"/>
      <c r="CI21" s="492"/>
      <c r="CJ21" s="493"/>
      <c r="CK21" s="494"/>
      <c r="CL21" s="495"/>
      <c r="CM21" s="257"/>
      <c r="CN21" s="496"/>
      <c r="CO21" s="495"/>
      <c r="CP21" s="257"/>
      <c r="CQ21" s="497"/>
      <c r="CR21" s="489">
        <f t="shared" ref="CR21:CT21" si="16">C21+F21+I21+L21+O21+R21+U21+X21+AA21+AD21+AG21+AJ21+AM21+AP21+AS21+AV21+AY21+BB21+BE21+BH21+BK21+BN21+BQ21+BT21+BW21+BZ21+CC21+CF21+CI21+CL21+CO21</f>
        <v>0</v>
      </c>
      <c r="CS21" s="489">
        <f t="shared" si="16"/>
        <v>1</v>
      </c>
      <c r="CT21" s="489">
        <f t="shared" si="16"/>
        <v>0</v>
      </c>
      <c r="CU21" s="467"/>
    </row>
    <row r="22" ht="11.25" customHeight="1">
      <c r="A22" s="498">
        <v>17.0</v>
      </c>
      <c r="B22" s="491" t="s">
        <v>91</v>
      </c>
      <c r="C22" s="492"/>
      <c r="D22" s="493"/>
      <c r="E22" s="494"/>
      <c r="F22" s="495">
        <v>1.0</v>
      </c>
      <c r="G22" s="257"/>
      <c r="H22" s="496"/>
      <c r="I22" s="495">
        <v>1.0</v>
      </c>
      <c r="J22" s="257"/>
      <c r="K22" s="496"/>
      <c r="L22" s="492"/>
      <c r="M22" s="493"/>
      <c r="N22" s="494"/>
      <c r="O22" s="492"/>
      <c r="P22" s="493"/>
      <c r="Q22" s="494"/>
      <c r="R22" s="495">
        <v>1.0</v>
      </c>
      <c r="S22" s="257"/>
      <c r="T22" s="496"/>
      <c r="U22" s="495">
        <v>1.0</v>
      </c>
      <c r="V22" s="257"/>
      <c r="W22" s="496"/>
      <c r="X22" s="495">
        <v>1.0</v>
      </c>
      <c r="Y22" s="257"/>
      <c r="Z22" s="496"/>
      <c r="AA22" s="495">
        <v>1.0</v>
      </c>
      <c r="AB22" s="257"/>
      <c r="AC22" s="496"/>
      <c r="AD22" s="495"/>
      <c r="AE22" s="257"/>
      <c r="AF22" s="496"/>
      <c r="AG22" s="492"/>
      <c r="AH22" s="493"/>
      <c r="AI22" s="494"/>
      <c r="AJ22" s="492"/>
      <c r="AK22" s="493"/>
      <c r="AL22" s="494"/>
      <c r="AM22" s="495"/>
      <c r="AN22" s="257"/>
      <c r="AO22" s="496"/>
      <c r="AP22" s="495"/>
      <c r="AQ22" s="257"/>
      <c r="AR22" s="496"/>
      <c r="AS22" s="495"/>
      <c r="AT22" s="257"/>
      <c r="AU22" s="496"/>
      <c r="AV22" s="495"/>
      <c r="AW22" s="257"/>
      <c r="AX22" s="496"/>
      <c r="AY22" s="495"/>
      <c r="AZ22" s="257"/>
      <c r="BA22" s="496"/>
      <c r="BB22" s="492"/>
      <c r="BC22" s="493"/>
      <c r="BD22" s="494"/>
      <c r="BE22" s="492"/>
      <c r="BF22" s="493"/>
      <c r="BG22" s="494"/>
      <c r="BH22" s="495"/>
      <c r="BI22" s="257"/>
      <c r="BJ22" s="496"/>
      <c r="BK22" s="495"/>
      <c r="BL22" s="257"/>
      <c r="BM22" s="496"/>
      <c r="BN22" s="495"/>
      <c r="BO22" s="257"/>
      <c r="BP22" s="496"/>
      <c r="BQ22" s="495"/>
      <c r="BR22" s="257"/>
      <c r="BS22" s="496"/>
      <c r="BT22" s="495"/>
      <c r="BU22" s="257"/>
      <c r="BV22" s="496"/>
      <c r="BW22" s="492"/>
      <c r="BX22" s="493"/>
      <c r="BY22" s="494"/>
      <c r="BZ22" s="492"/>
      <c r="CA22" s="493"/>
      <c r="CB22" s="494"/>
      <c r="CC22" s="492"/>
      <c r="CD22" s="493"/>
      <c r="CE22" s="494"/>
      <c r="CF22" s="492"/>
      <c r="CG22" s="493"/>
      <c r="CH22" s="494"/>
      <c r="CI22" s="492"/>
      <c r="CJ22" s="493"/>
      <c r="CK22" s="494"/>
      <c r="CL22" s="495"/>
      <c r="CM22" s="257"/>
      <c r="CN22" s="496"/>
      <c r="CO22" s="495"/>
      <c r="CP22" s="257"/>
      <c r="CQ22" s="497"/>
      <c r="CR22" s="489">
        <f t="shared" ref="CR22:CT22" si="17">C22+F22+I22+L22+O22+R22+U22+X22+AA22+AD22+AG22+AJ22+AM22+AP22+AS22+AV22+AY22+BB22+BE22+BH22+BK22+BN22+BQ22+BT22+BW22+BZ22+CC22+CF22+CI22+CL22+CO22</f>
        <v>6</v>
      </c>
      <c r="CS22" s="489">
        <f t="shared" si="17"/>
        <v>0</v>
      </c>
      <c r="CT22" s="489">
        <f t="shared" si="17"/>
        <v>0</v>
      </c>
      <c r="CU22" s="467"/>
    </row>
    <row r="23" ht="11.25" customHeight="1">
      <c r="A23" s="490">
        <v>18.0</v>
      </c>
      <c r="B23" s="491" t="s">
        <v>95</v>
      </c>
      <c r="C23" s="492"/>
      <c r="D23" s="493"/>
      <c r="E23" s="494"/>
      <c r="F23" s="495"/>
      <c r="G23" s="257"/>
      <c r="H23" s="496"/>
      <c r="I23" s="495"/>
      <c r="J23" s="257"/>
      <c r="K23" s="496"/>
      <c r="L23" s="492"/>
      <c r="M23" s="493"/>
      <c r="N23" s="494"/>
      <c r="O23" s="492"/>
      <c r="P23" s="493"/>
      <c r="Q23" s="494"/>
      <c r="R23" s="495"/>
      <c r="S23" s="257"/>
      <c r="T23" s="496"/>
      <c r="U23" s="495"/>
      <c r="V23" s="257"/>
      <c r="W23" s="496"/>
      <c r="X23" s="495"/>
      <c r="Y23" s="257"/>
      <c r="Z23" s="496"/>
      <c r="AA23" s="495"/>
      <c r="AB23" s="257"/>
      <c r="AC23" s="496"/>
      <c r="AD23" s="495"/>
      <c r="AE23" s="257"/>
      <c r="AF23" s="496"/>
      <c r="AG23" s="492"/>
      <c r="AH23" s="493"/>
      <c r="AI23" s="494"/>
      <c r="AJ23" s="492"/>
      <c r="AK23" s="493"/>
      <c r="AL23" s="494"/>
      <c r="AM23" s="495"/>
      <c r="AN23" s="257"/>
      <c r="AO23" s="496"/>
      <c r="AP23" s="495"/>
      <c r="AQ23" s="257"/>
      <c r="AR23" s="496"/>
      <c r="AS23" s="495"/>
      <c r="AT23" s="257"/>
      <c r="AU23" s="496"/>
      <c r="AV23" s="495"/>
      <c r="AW23" s="257"/>
      <c r="AX23" s="496"/>
      <c r="AY23" s="495"/>
      <c r="AZ23" s="257"/>
      <c r="BA23" s="496"/>
      <c r="BB23" s="492"/>
      <c r="BC23" s="493"/>
      <c r="BD23" s="494"/>
      <c r="BE23" s="492"/>
      <c r="BF23" s="493"/>
      <c r="BG23" s="494"/>
      <c r="BH23" s="495"/>
      <c r="BI23" s="257"/>
      <c r="BJ23" s="496"/>
      <c r="BK23" s="495"/>
      <c r="BL23" s="257"/>
      <c r="BM23" s="496"/>
      <c r="BN23" s="495"/>
      <c r="BO23" s="257"/>
      <c r="BP23" s="496"/>
      <c r="BQ23" s="495"/>
      <c r="BR23" s="257"/>
      <c r="BS23" s="496"/>
      <c r="BT23" s="495"/>
      <c r="BU23" s="257"/>
      <c r="BV23" s="496"/>
      <c r="BW23" s="492"/>
      <c r="BX23" s="493"/>
      <c r="BY23" s="494"/>
      <c r="BZ23" s="492"/>
      <c r="CA23" s="493"/>
      <c r="CB23" s="494"/>
      <c r="CC23" s="492"/>
      <c r="CD23" s="493"/>
      <c r="CE23" s="494"/>
      <c r="CF23" s="492"/>
      <c r="CG23" s="493"/>
      <c r="CH23" s="494"/>
      <c r="CI23" s="492"/>
      <c r="CJ23" s="493"/>
      <c r="CK23" s="494"/>
      <c r="CL23" s="495"/>
      <c r="CM23" s="257"/>
      <c r="CN23" s="496"/>
      <c r="CO23" s="495"/>
      <c r="CP23" s="257"/>
      <c r="CQ23" s="497"/>
      <c r="CR23" s="489">
        <f t="shared" ref="CR23:CT23" si="18">C23+F23+I23+L23+O23+R23+U23+X23+AA23+AD23+AG23+AJ23+AM23+AP23+AS23+AV23+AY23+BB23+BE23+BH23+BK23+BN23+BQ23+BT23+BW23+BZ23+CC23+CF23+CI23+CL23+CO23</f>
        <v>0</v>
      </c>
      <c r="CS23" s="489">
        <f t="shared" si="18"/>
        <v>0</v>
      </c>
      <c r="CT23" s="489">
        <f t="shared" si="18"/>
        <v>0</v>
      </c>
      <c r="CU23" s="467"/>
    </row>
    <row r="24" ht="11.25" customHeight="1">
      <c r="A24" s="498">
        <v>19.0</v>
      </c>
      <c r="B24" s="491" t="s">
        <v>101</v>
      </c>
      <c r="C24" s="492"/>
      <c r="D24" s="493"/>
      <c r="E24" s="494"/>
      <c r="F24" s="495"/>
      <c r="G24" s="257"/>
      <c r="H24" s="496"/>
      <c r="I24" s="495"/>
      <c r="J24" s="257"/>
      <c r="K24" s="496"/>
      <c r="L24" s="492"/>
      <c r="M24" s="493"/>
      <c r="N24" s="494"/>
      <c r="O24" s="492"/>
      <c r="P24" s="493"/>
      <c r="Q24" s="494"/>
      <c r="R24" s="495"/>
      <c r="S24" s="257"/>
      <c r="T24" s="496"/>
      <c r="U24" s="495"/>
      <c r="V24" s="257"/>
      <c r="W24" s="496"/>
      <c r="X24" s="495"/>
      <c r="Y24" s="257"/>
      <c r="Z24" s="496">
        <v>1.0</v>
      </c>
      <c r="AA24" s="495"/>
      <c r="AB24" s="257"/>
      <c r="AC24" s="496"/>
      <c r="AD24" s="495"/>
      <c r="AE24" s="257"/>
      <c r="AF24" s="496"/>
      <c r="AG24" s="492"/>
      <c r="AH24" s="493"/>
      <c r="AI24" s="494"/>
      <c r="AJ24" s="492"/>
      <c r="AK24" s="493"/>
      <c r="AL24" s="494"/>
      <c r="AM24" s="495"/>
      <c r="AN24" s="257"/>
      <c r="AO24" s="496"/>
      <c r="AP24" s="495"/>
      <c r="AQ24" s="257"/>
      <c r="AR24" s="496"/>
      <c r="AS24" s="495"/>
      <c r="AT24" s="257"/>
      <c r="AU24" s="496"/>
      <c r="AV24" s="495"/>
      <c r="AW24" s="257"/>
      <c r="AX24" s="496"/>
      <c r="AY24" s="495"/>
      <c r="AZ24" s="257"/>
      <c r="BA24" s="496"/>
      <c r="BB24" s="492"/>
      <c r="BC24" s="493"/>
      <c r="BD24" s="494"/>
      <c r="BE24" s="492"/>
      <c r="BF24" s="493"/>
      <c r="BG24" s="494"/>
      <c r="BH24" s="495"/>
      <c r="BI24" s="257"/>
      <c r="BJ24" s="496"/>
      <c r="BK24" s="495"/>
      <c r="BL24" s="257"/>
      <c r="BM24" s="496"/>
      <c r="BN24" s="495"/>
      <c r="BO24" s="257"/>
      <c r="BP24" s="496"/>
      <c r="BQ24" s="495"/>
      <c r="BR24" s="257"/>
      <c r="BS24" s="496"/>
      <c r="BT24" s="495"/>
      <c r="BU24" s="257"/>
      <c r="BV24" s="496"/>
      <c r="BW24" s="492"/>
      <c r="BX24" s="493"/>
      <c r="BY24" s="494"/>
      <c r="BZ24" s="492"/>
      <c r="CA24" s="493"/>
      <c r="CB24" s="494"/>
      <c r="CC24" s="492"/>
      <c r="CD24" s="493"/>
      <c r="CE24" s="494"/>
      <c r="CF24" s="492"/>
      <c r="CG24" s="493"/>
      <c r="CH24" s="494"/>
      <c r="CI24" s="492"/>
      <c r="CJ24" s="493"/>
      <c r="CK24" s="494"/>
      <c r="CL24" s="495"/>
      <c r="CM24" s="257"/>
      <c r="CN24" s="496"/>
      <c r="CO24" s="495"/>
      <c r="CP24" s="257"/>
      <c r="CQ24" s="497"/>
      <c r="CR24" s="489">
        <f t="shared" ref="CR24:CT24" si="19">C24+F24+I24+L24+O24+R24+U24+X24+AA24+AD24+AG24+AJ24+AM24+AP24+AS24+AV24+AY24+BB24+BE24+BH24+BK24+BN24+BQ24+BT24+BW24+BZ24+CC24+CF24+CI24+CL24+CO24</f>
        <v>0</v>
      </c>
      <c r="CS24" s="489">
        <f t="shared" si="19"/>
        <v>0</v>
      </c>
      <c r="CT24" s="489">
        <f t="shared" si="19"/>
        <v>1</v>
      </c>
      <c r="CU24" s="467"/>
    </row>
    <row r="25" ht="11.25" customHeight="1">
      <c r="A25" s="490">
        <v>20.0</v>
      </c>
      <c r="B25" s="491" t="s">
        <v>107</v>
      </c>
      <c r="C25" s="492"/>
      <c r="D25" s="493"/>
      <c r="E25" s="494"/>
      <c r="F25" s="495"/>
      <c r="G25" s="257"/>
      <c r="H25" s="496"/>
      <c r="I25" s="495"/>
      <c r="J25" s="257"/>
      <c r="K25" s="496"/>
      <c r="L25" s="492"/>
      <c r="M25" s="493"/>
      <c r="N25" s="494"/>
      <c r="O25" s="492"/>
      <c r="P25" s="493"/>
      <c r="Q25" s="494"/>
      <c r="R25" s="495"/>
      <c r="S25" s="257"/>
      <c r="T25" s="496"/>
      <c r="U25" s="495"/>
      <c r="V25" s="257"/>
      <c r="W25" s="496"/>
      <c r="X25" s="495"/>
      <c r="Y25" s="257"/>
      <c r="Z25" s="496"/>
      <c r="AA25" s="495"/>
      <c r="AB25" s="257"/>
      <c r="AC25" s="496"/>
      <c r="AD25" s="495"/>
      <c r="AE25" s="257"/>
      <c r="AF25" s="496"/>
      <c r="AG25" s="492"/>
      <c r="AH25" s="493"/>
      <c r="AI25" s="494"/>
      <c r="AJ25" s="492"/>
      <c r="AK25" s="493"/>
      <c r="AL25" s="494"/>
      <c r="AM25" s="495"/>
      <c r="AN25" s="257"/>
      <c r="AO25" s="496"/>
      <c r="AP25" s="495"/>
      <c r="AQ25" s="257"/>
      <c r="AR25" s="496"/>
      <c r="AS25" s="495"/>
      <c r="AT25" s="257"/>
      <c r="AU25" s="496">
        <v>1.0</v>
      </c>
      <c r="AV25" s="495"/>
      <c r="AW25" s="257"/>
      <c r="AX25" s="496"/>
      <c r="AY25" s="495"/>
      <c r="AZ25" s="257"/>
      <c r="BA25" s="496"/>
      <c r="BB25" s="492"/>
      <c r="BC25" s="493"/>
      <c r="BD25" s="494"/>
      <c r="BE25" s="492"/>
      <c r="BF25" s="493"/>
      <c r="BG25" s="494"/>
      <c r="BH25" s="495"/>
      <c r="BI25" s="257"/>
      <c r="BJ25" s="496"/>
      <c r="BK25" s="495"/>
      <c r="BL25" s="257"/>
      <c r="BM25" s="496"/>
      <c r="BN25" s="495"/>
      <c r="BO25" s="257"/>
      <c r="BP25" s="496"/>
      <c r="BQ25" s="495"/>
      <c r="BR25" s="257"/>
      <c r="BS25" s="496"/>
      <c r="BT25" s="495"/>
      <c r="BU25" s="257"/>
      <c r="BV25" s="496"/>
      <c r="BW25" s="492"/>
      <c r="BX25" s="493"/>
      <c r="BY25" s="494"/>
      <c r="BZ25" s="492"/>
      <c r="CA25" s="493"/>
      <c r="CB25" s="494"/>
      <c r="CC25" s="492"/>
      <c r="CD25" s="493"/>
      <c r="CE25" s="494"/>
      <c r="CF25" s="492"/>
      <c r="CG25" s="493"/>
      <c r="CH25" s="494"/>
      <c r="CI25" s="492"/>
      <c r="CJ25" s="493"/>
      <c r="CK25" s="494"/>
      <c r="CL25" s="495"/>
      <c r="CM25" s="257"/>
      <c r="CN25" s="496"/>
      <c r="CO25" s="495"/>
      <c r="CP25" s="257"/>
      <c r="CQ25" s="497"/>
      <c r="CR25" s="489">
        <f t="shared" ref="CR25:CT25" si="20">C25+F25+I25+L25+O25+R25+U25+X25+AA25+AD25+AG25+AJ25+AM25+AP25+AS25+AV25+AY25+BB25+BE25+BH25+BK25+BN25+BQ25+BT25+BW25+BZ25+CC25+CF25+CI25+CL25+CO25</f>
        <v>0</v>
      </c>
      <c r="CS25" s="489">
        <f t="shared" si="20"/>
        <v>0</v>
      </c>
      <c r="CT25" s="489">
        <f t="shared" si="20"/>
        <v>1</v>
      </c>
      <c r="CU25" s="467"/>
    </row>
    <row r="26" ht="11.25" customHeight="1">
      <c r="A26" s="498">
        <v>21.0</v>
      </c>
      <c r="B26" s="491" t="s">
        <v>110</v>
      </c>
      <c r="C26" s="492"/>
      <c r="D26" s="493"/>
      <c r="E26" s="494"/>
      <c r="F26" s="495"/>
      <c r="G26" s="257"/>
      <c r="H26" s="496"/>
      <c r="I26" s="495"/>
      <c r="J26" s="257"/>
      <c r="K26" s="496"/>
      <c r="L26" s="492"/>
      <c r="M26" s="493"/>
      <c r="N26" s="494"/>
      <c r="O26" s="492"/>
      <c r="P26" s="493"/>
      <c r="Q26" s="494"/>
      <c r="R26" s="495"/>
      <c r="S26" s="257"/>
      <c r="T26" s="496"/>
      <c r="U26" s="495"/>
      <c r="V26" s="257"/>
      <c r="W26" s="496"/>
      <c r="X26" s="495"/>
      <c r="Y26" s="257"/>
      <c r="Z26" s="496"/>
      <c r="AA26" s="495"/>
      <c r="AB26" s="257"/>
      <c r="AC26" s="496"/>
      <c r="AD26" s="495"/>
      <c r="AE26" s="257"/>
      <c r="AF26" s="496"/>
      <c r="AG26" s="492"/>
      <c r="AH26" s="493"/>
      <c r="AI26" s="494"/>
      <c r="AJ26" s="492"/>
      <c r="AK26" s="493"/>
      <c r="AL26" s="494"/>
      <c r="AM26" s="495"/>
      <c r="AN26" s="257"/>
      <c r="AO26" s="496"/>
      <c r="AP26" s="495"/>
      <c r="AQ26" s="257"/>
      <c r="AR26" s="496"/>
      <c r="AS26" s="495"/>
      <c r="AT26" s="257"/>
      <c r="AU26" s="496"/>
      <c r="AV26" s="495"/>
      <c r="AW26" s="257"/>
      <c r="AX26" s="496"/>
      <c r="AY26" s="495"/>
      <c r="AZ26" s="257"/>
      <c r="BA26" s="496"/>
      <c r="BB26" s="492"/>
      <c r="BC26" s="493"/>
      <c r="BD26" s="494"/>
      <c r="BE26" s="492"/>
      <c r="BF26" s="493"/>
      <c r="BG26" s="494"/>
      <c r="BH26" s="495"/>
      <c r="BI26" s="257"/>
      <c r="BJ26" s="496"/>
      <c r="BK26" s="495"/>
      <c r="BL26" s="257"/>
      <c r="BM26" s="496"/>
      <c r="BN26" s="495"/>
      <c r="BO26" s="257"/>
      <c r="BP26" s="496"/>
      <c r="BQ26" s="495"/>
      <c r="BR26" s="257"/>
      <c r="BS26" s="496"/>
      <c r="BT26" s="495"/>
      <c r="BU26" s="257"/>
      <c r="BV26" s="496"/>
      <c r="BW26" s="492"/>
      <c r="BX26" s="493"/>
      <c r="BY26" s="494"/>
      <c r="BZ26" s="492"/>
      <c r="CA26" s="493"/>
      <c r="CB26" s="494"/>
      <c r="CC26" s="492"/>
      <c r="CD26" s="493"/>
      <c r="CE26" s="494"/>
      <c r="CF26" s="492"/>
      <c r="CG26" s="493"/>
      <c r="CH26" s="494"/>
      <c r="CI26" s="492"/>
      <c r="CJ26" s="493"/>
      <c r="CK26" s="494"/>
      <c r="CL26" s="495"/>
      <c r="CM26" s="257"/>
      <c r="CN26" s="496"/>
      <c r="CO26" s="495"/>
      <c r="CP26" s="257"/>
      <c r="CQ26" s="497"/>
      <c r="CR26" s="489">
        <f t="shared" ref="CR26:CT26" si="21">C26+F26+I26+L26+O26+R26+U26+X26+AA26+AD26+AG26+AJ26+AM26+AP26+AS26+AV26+AY26+BB26+BE26+BH26+BK26+BN26+BQ26+BT26+BW26+BZ26+CC26+CF26+CI26+CL26+CO26</f>
        <v>0</v>
      </c>
      <c r="CS26" s="489">
        <f t="shared" si="21"/>
        <v>0</v>
      </c>
      <c r="CT26" s="489">
        <f t="shared" si="21"/>
        <v>0</v>
      </c>
      <c r="CU26" s="467"/>
    </row>
    <row r="27" ht="11.25" customHeight="1">
      <c r="A27" s="490">
        <v>22.0</v>
      </c>
      <c r="B27" s="491" t="s">
        <v>115</v>
      </c>
      <c r="C27" s="492"/>
      <c r="D27" s="493"/>
      <c r="E27" s="494"/>
      <c r="F27" s="495"/>
      <c r="G27" s="257"/>
      <c r="H27" s="496"/>
      <c r="I27" s="495"/>
      <c r="J27" s="257"/>
      <c r="K27" s="496"/>
      <c r="L27" s="492"/>
      <c r="M27" s="493"/>
      <c r="N27" s="494"/>
      <c r="O27" s="492"/>
      <c r="P27" s="493"/>
      <c r="Q27" s="494"/>
      <c r="R27" s="495"/>
      <c r="S27" s="257"/>
      <c r="T27" s="496"/>
      <c r="U27" s="495"/>
      <c r="V27" s="257"/>
      <c r="W27" s="496"/>
      <c r="X27" s="495"/>
      <c r="Y27" s="257"/>
      <c r="Z27" s="496"/>
      <c r="AA27" s="495"/>
      <c r="AB27" s="257"/>
      <c r="AC27" s="496"/>
      <c r="AD27" s="495"/>
      <c r="AE27" s="257"/>
      <c r="AF27" s="496"/>
      <c r="AG27" s="492"/>
      <c r="AH27" s="493"/>
      <c r="AI27" s="494"/>
      <c r="AJ27" s="492"/>
      <c r="AK27" s="493"/>
      <c r="AL27" s="494"/>
      <c r="AM27" s="495"/>
      <c r="AN27" s="257"/>
      <c r="AO27" s="496"/>
      <c r="AP27" s="495"/>
      <c r="AQ27" s="257"/>
      <c r="AR27" s="496"/>
      <c r="AS27" s="495"/>
      <c r="AT27" s="257"/>
      <c r="AU27" s="496"/>
      <c r="AV27" s="495"/>
      <c r="AW27" s="257"/>
      <c r="AX27" s="496"/>
      <c r="AY27" s="495"/>
      <c r="AZ27" s="257"/>
      <c r="BA27" s="496"/>
      <c r="BB27" s="492"/>
      <c r="BC27" s="493"/>
      <c r="BD27" s="494"/>
      <c r="BE27" s="492"/>
      <c r="BF27" s="493"/>
      <c r="BG27" s="494"/>
      <c r="BH27" s="495"/>
      <c r="BI27" s="257"/>
      <c r="BJ27" s="496"/>
      <c r="BK27" s="495"/>
      <c r="BL27" s="257"/>
      <c r="BM27" s="496"/>
      <c r="BN27" s="495"/>
      <c r="BO27" s="257"/>
      <c r="BP27" s="496"/>
      <c r="BQ27" s="495"/>
      <c r="BR27" s="257"/>
      <c r="BS27" s="496"/>
      <c r="BT27" s="495"/>
      <c r="BU27" s="257"/>
      <c r="BV27" s="496"/>
      <c r="BW27" s="492"/>
      <c r="BX27" s="493"/>
      <c r="BY27" s="494"/>
      <c r="BZ27" s="492"/>
      <c r="CA27" s="493"/>
      <c r="CB27" s="494"/>
      <c r="CC27" s="492"/>
      <c r="CD27" s="493"/>
      <c r="CE27" s="494"/>
      <c r="CF27" s="492"/>
      <c r="CG27" s="493"/>
      <c r="CH27" s="494"/>
      <c r="CI27" s="492"/>
      <c r="CJ27" s="493"/>
      <c r="CK27" s="494"/>
      <c r="CL27" s="495"/>
      <c r="CM27" s="257"/>
      <c r="CN27" s="496"/>
      <c r="CO27" s="495"/>
      <c r="CP27" s="257"/>
      <c r="CQ27" s="497"/>
      <c r="CR27" s="489">
        <f t="shared" ref="CR27:CT27" si="22">C27+F27+I27+L27+O27+R27+U27+X27+AA27+AD27+AG27+AJ27+AM27+AP27+AS27+AV27+AY27+BB27+BE27+BH27+BK27+BN27+BQ27+BT27+BW27+BZ27+CC27+CF27+CI27+CL27+CO27</f>
        <v>0</v>
      </c>
      <c r="CS27" s="489">
        <f t="shared" si="22"/>
        <v>0</v>
      </c>
      <c r="CT27" s="489">
        <f t="shared" si="22"/>
        <v>0</v>
      </c>
      <c r="CU27" s="467"/>
    </row>
    <row r="28" ht="11.25" customHeight="1">
      <c r="A28" s="498">
        <v>23.0</v>
      </c>
      <c r="B28" s="491" t="s">
        <v>121</v>
      </c>
      <c r="C28" s="492"/>
      <c r="D28" s="493"/>
      <c r="E28" s="494"/>
      <c r="F28" s="495"/>
      <c r="G28" s="257"/>
      <c r="H28" s="496"/>
      <c r="I28" s="495"/>
      <c r="J28" s="257"/>
      <c r="K28" s="496"/>
      <c r="L28" s="492"/>
      <c r="M28" s="493"/>
      <c r="N28" s="494"/>
      <c r="O28" s="492"/>
      <c r="P28" s="493"/>
      <c r="Q28" s="494"/>
      <c r="R28" s="495"/>
      <c r="S28" s="257"/>
      <c r="T28" s="496"/>
      <c r="U28" s="495"/>
      <c r="V28" s="257"/>
      <c r="W28" s="496"/>
      <c r="X28" s="495"/>
      <c r="Y28" s="257"/>
      <c r="Z28" s="496"/>
      <c r="AA28" s="495"/>
      <c r="AB28" s="257"/>
      <c r="AC28" s="496"/>
      <c r="AD28" s="495"/>
      <c r="AE28" s="257"/>
      <c r="AF28" s="496"/>
      <c r="AG28" s="492"/>
      <c r="AH28" s="493"/>
      <c r="AI28" s="494"/>
      <c r="AJ28" s="492"/>
      <c r="AK28" s="493"/>
      <c r="AL28" s="494"/>
      <c r="AM28" s="495"/>
      <c r="AN28" s="257"/>
      <c r="AO28" s="496"/>
      <c r="AP28" s="495"/>
      <c r="AQ28" s="257"/>
      <c r="AR28" s="496"/>
      <c r="AS28" s="495"/>
      <c r="AT28" s="257"/>
      <c r="AU28" s="496"/>
      <c r="AV28" s="495"/>
      <c r="AW28" s="257"/>
      <c r="AX28" s="496"/>
      <c r="AY28" s="495"/>
      <c r="AZ28" s="257"/>
      <c r="BA28" s="496"/>
      <c r="BB28" s="492"/>
      <c r="BC28" s="493"/>
      <c r="BD28" s="494"/>
      <c r="BE28" s="492"/>
      <c r="BF28" s="493"/>
      <c r="BG28" s="494"/>
      <c r="BH28" s="495"/>
      <c r="BI28" s="257"/>
      <c r="BJ28" s="496"/>
      <c r="BK28" s="495"/>
      <c r="BL28" s="257"/>
      <c r="BM28" s="496"/>
      <c r="BN28" s="495"/>
      <c r="BO28" s="257"/>
      <c r="BP28" s="496"/>
      <c r="BQ28" s="495"/>
      <c r="BR28" s="257"/>
      <c r="BS28" s="496"/>
      <c r="BT28" s="495"/>
      <c r="BU28" s="257"/>
      <c r="BV28" s="496"/>
      <c r="BW28" s="492"/>
      <c r="BX28" s="493"/>
      <c r="BY28" s="494"/>
      <c r="BZ28" s="492"/>
      <c r="CA28" s="493"/>
      <c r="CB28" s="494"/>
      <c r="CC28" s="492"/>
      <c r="CD28" s="493"/>
      <c r="CE28" s="494"/>
      <c r="CF28" s="492"/>
      <c r="CG28" s="493"/>
      <c r="CH28" s="494"/>
      <c r="CI28" s="492"/>
      <c r="CJ28" s="493"/>
      <c r="CK28" s="494"/>
      <c r="CL28" s="495"/>
      <c r="CM28" s="257"/>
      <c r="CN28" s="496"/>
      <c r="CO28" s="495"/>
      <c r="CP28" s="257"/>
      <c r="CQ28" s="497"/>
      <c r="CR28" s="489">
        <f t="shared" ref="CR28:CT28" si="23">C28+F28+I28+L28+O28+R28+U28+X28+AA28+AD28+AG28+AJ28+AM28+AP28+AS28+AV28+AY28+BB28+BE28+BH28+BK28+BN28+BQ28+BT28+BW28+BZ28+CC28+CF28+CI28+CL28+CO28</f>
        <v>0</v>
      </c>
      <c r="CS28" s="489">
        <f t="shared" si="23"/>
        <v>0</v>
      </c>
      <c r="CT28" s="489">
        <f t="shared" si="23"/>
        <v>0</v>
      </c>
      <c r="CU28" s="467"/>
    </row>
    <row r="29" ht="11.25" customHeight="1">
      <c r="A29" s="490">
        <v>24.0</v>
      </c>
      <c r="B29" s="491" t="s">
        <v>331</v>
      </c>
      <c r="C29" s="492"/>
      <c r="D29" s="493"/>
      <c r="E29" s="494"/>
      <c r="F29" s="495"/>
      <c r="G29" s="257"/>
      <c r="H29" s="496"/>
      <c r="I29" s="495"/>
      <c r="J29" s="257"/>
      <c r="K29" s="496"/>
      <c r="L29" s="492"/>
      <c r="M29" s="493"/>
      <c r="N29" s="494"/>
      <c r="O29" s="492"/>
      <c r="P29" s="493"/>
      <c r="Q29" s="494"/>
      <c r="R29" s="495"/>
      <c r="S29" s="257"/>
      <c r="T29" s="496"/>
      <c r="U29" s="495"/>
      <c r="V29" s="257"/>
      <c r="W29" s="496"/>
      <c r="X29" s="495"/>
      <c r="Y29" s="257"/>
      <c r="Z29" s="496"/>
      <c r="AA29" s="495"/>
      <c r="AB29" s="257"/>
      <c r="AC29" s="496"/>
      <c r="AD29" s="495"/>
      <c r="AE29" s="257"/>
      <c r="AF29" s="496"/>
      <c r="AG29" s="492"/>
      <c r="AH29" s="493"/>
      <c r="AI29" s="494"/>
      <c r="AJ29" s="492"/>
      <c r="AK29" s="493"/>
      <c r="AL29" s="494"/>
      <c r="AM29" s="495"/>
      <c r="AN29" s="257"/>
      <c r="AO29" s="496"/>
      <c r="AP29" s="495"/>
      <c r="AQ29" s="257"/>
      <c r="AR29" s="496"/>
      <c r="AS29" s="495"/>
      <c r="AT29" s="257"/>
      <c r="AU29" s="496"/>
      <c r="AV29" s="495"/>
      <c r="AW29" s="257"/>
      <c r="AX29" s="496"/>
      <c r="AY29" s="495"/>
      <c r="AZ29" s="257"/>
      <c r="BA29" s="496"/>
      <c r="BB29" s="492"/>
      <c r="BC29" s="493"/>
      <c r="BD29" s="494"/>
      <c r="BE29" s="492"/>
      <c r="BF29" s="493"/>
      <c r="BG29" s="494"/>
      <c r="BH29" s="495"/>
      <c r="BI29" s="257"/>
      <c r="BJ29" s="496"/>
      <c r="BK29" s="495"/>
      <c r="BL29" s="257"/>
      <c r="BM29" s="496"/>
      <c r="BN29" s="495"/>
      <c r="BO29" s="257"/>
      <c r="BP29" s="496"/>
      <c r="BQ29" s="495"/>
      <c r="BR29" s="257"/>
      <c r="BS29" s="496"/>
      <c r="BT29" s="495"/>
      <c r="BU29" s="257"/>
      <c r="BV29" s="496"/>
      <c r="BW29" s="492"/>
      <c r="BX29" s="493"/>
      <c r="BY29" s="494"/>
      <c r="BZ29" s="492"/>
      <c r="CA29" s="493"/>
      <c r="CB29" s="494"/>
      <c r="CC29" s="492"/>
      <c r="CD29" s="493"/>
      <c r="CE29" s="494"/>
      <c r="CF29" s="492"/>
      <c r="CG29" s="493"/>
      <c r="CH29" s="494"/>
      <c r="CI29" s="492"/>
      <c r="CJ29" s="493"/>
      <c r="CK29" s="494"/>
      <c r="CL29" s="495"/>
      <c r="CM29" s="257"/>
      <c r="CN29" s="496"/>
      <c r="CO29" s="495"/>
      <c r="CP29" s="257"/>
      <c r="CQ29" s="497"/>
      <c r="CR29" s="489">
        <f t="shared" ref="CR29:CT29" si="24">C29+F29+I29+L29+O29+R29+U29+X29+AA29+AD29+AG29+AJ29+AM29+AP29+AS29+AV29+AY29+BB29+BE29+BH29+BK29+BN29+BQ29+BT29+BW29+BZ29+CC29+CF29+CI29+CL29+CO29</f>
        <v>0</v>
      </c>
      <c r="CS29" s="489">
        <f t="shared" si="24"/>
        <v>0</v>
      </c>
      <c r="CT29" s="489">
        <f t="shared" si="24"/>
        <v>0</v>
      </c>
      <c r="CU29" s="467"/>
    </row>
    <row r="30" ht="11.25" customHeight="1">
      <c r="A30" s="498">
        <v>25.0</v>
      </c>
      <c r="B30" s="491" t="s">
        <v>333</v>
      </c>
      <c r="C30" s="492"/>
      <c r="D30" s="493"/>
      <c r="E30" s="494"/>
      <c r="F30" s="495"/>
      <c r="G30" s="257"/>
      <c r="H30" s="496"/>
      <c r="I30" s="495"/>
      <c r="J30" s="257"/>
      <c r="K30" s="496"/>
      <c r="L30" s="492"/>
      <c r="M30" s="493"/>
      <c r="N30" s="494"/>
      <c r="O30" s="492"/>
      <c r="P30" s="493"/>
      <c r="Q30" s="494"/>
      <c r="R30" s="495"/>
      <c r="S30" s="257"/>
      <c r="T30" s="496"/>
      <c r="U30" s="495"/>
      <c r="V30" s="257"/>
      <c r="W30" s="496"/>
      <c r="X30" s="495"/>
      <c r="Y30" s="257">
        <v>1.0</v>
      </c>
      <c r="Z30" s="496"/>
      <c r="AA30" s="495"/>
      <c r="AB30" s="257"/>
      <c r="AC30" s="496"/>
      <c r="AD30" s="495"/>
      <c r="AE30" s="257"/>
      <c r="AF30" s="496"/>
      <c r="AG30" s="492"/>
      <c r="AH30" s="493"/>
      <c r="AI30" s="494"/>
      <c r="AJ30" s="492"/>
      <c r="AK30" s="493"/>
      <c r="AL30" s="494"/>
      <c r="AM30" s="495"/>
      <c r="AN30" s="257"/>
      <c r="AO30" s="496"/>
      <c r="AP30" s="495"/>
      <c r="AQ30" s="257"/>
      <c r="AR30" s="496"/>
      <c r="AS30" s="495"/>
      <c r="AT30" s="257"/>
      <c r="AU30" s="496"/>
      <c r="AV30" s="495"/>
      <c r="AW30" s="257"/>
      <c r="AX30" s="496"/>
      <c r="AY30" s="495"/>
      <c r="AZ30" s="257"/>
      <c r="BA30" s="496"/>
      <c r="BB30" s="492"/>
      <c r="BC30" s="493"/>
      <c r="BD30" s="494"/>
      <c r="BE30" s="492"/>
      <c r="BF30" s="493"/>
      <c r="BG30" s="494"/>
      <c r="BH30" s="495"/>
      <c r="BI30" s="257"/>
      <c r="BJ30" s="496"/>
      <c r="BK30" s="495"/>
      <c r="BL30" s="257"/>
      <c r="BM30" s="496"/>
      <c r="BN30" s="495"/>
      <c r="BO30" s="257"/>
      <c r="BP30" s="496"/>
      <c r="BQ30" s="495"/>
      <c r="BR30" s="257"/>
      <c r="BS30" s="496"/>
      <c r="BT30" s="495"/>
      <c r="BU30" s="257"/>
      <c r="BV30" s="496"/>
      <c r="BW30" s="492"/>
      <c r="BX30" s="493"/>
      <c r="BY30" s="494"/>
      <c r="BZ30" s="492"/>
      <c r="CA30" s="493"/>
      <c r="CB30" s="494"/>
      <c r="CC30" s="492"/>
      <c r="CD30" s="493"/>
      <c r="CE30" s="494"/>
      <c r="CF30" s="492"/>
      <c r="CG30" s="493"/>
      <c r="CH30" s="494"/>
      <c r="CI30" s="492"/>
      <c r="CJ30" s="493"/>
      <c r="CK30" s="494"/>
      <c r="CL30" s="495"/>
      <c r="CM30" s="257"/>
      <c r="CN30" s="496"/>
      <c r="CO30" s="495"/>
      <c r="CP30" s="257"/>
      <c r="CQ30" s="497"/>
      <c r="CR30" s="489">
        <f t="shared" ref="CR30:CT30" si="25">C30+F30+I30+L30+O30+R30+U30+X30+AA30+AD30+AG30+AJ30+AM30+AP30+AS30+AV30+AY30+BB30+BE30+BH30+BK30+BN30+BQ30+BT30+BW30+BZ30+CC30+CF30+CI30+CL30+CO30</f>
        <v>0</v>
      </c>
      <c r="CS30" s="489">
        <f t="shared" si="25"/>
        <v>1</v>
      </c>
      <c r="CT30" s="489">
        <f t="shared" si="25"/>
        <v>0</v>
      </c>
      <c r="CU30" s="467"/>
    </row>
    <row r="31" ht="11.25" customHeight="1">
      <c r="A31" s="490">
        <v>26.0</v>
      </c>
      <c r="B31" s="491" t="s">
        <v>143</v>
      </c>
      <c r="C31" s="492"/>
      <c r="D31" s="493"/>
      <c r="E31" s="494"/>
      <c r="F31" s="495"/>
      <c r="G31" s="257"/>
      <c r="H31" s="496"/>
      <c r="I31" s="495"/>
      <c r="J31" s="257"/>
      <c r="K31" s="496"/>
      <c r="L31" s="492"/>
      <c r="M31" s="493"/>
      <c r="N31" s="494"/>
      <c r="O31" s="492"/>
      <c r="P31" s="493"/>
      <c r="Q31" s="494"/>
      <c r="R31" s="495"/>
      <c r="S31" s="257"/>
      <c r="T31" s="496"/>
      <c r="U31" s="495"/>
      <c r="V31" s="257"/>
      <c r="W31" s="496"/>
      <c r="X31" s="495"/>
      <c r="Y31" s="257"/>
      <c r="Z31" s="496"/>
      <c r="AA31" s="495"/>
      <c r="AB31" s="257"/>
      <c r="AC31" s="496"/>
      <c r="AD31" s="495"/>
      <c r="AE31" s="257"/>
      <c r="AF31" s="496"/>
      <c r="AG31" s="492"/>
      <c r="AH31" s="493"/>
      <c r="AI31" s="494"/>
      <c r="AJ31" s="492"/>
      <c r="AK31" s="493"/>
      <c r="AL31" s="494"/>
      <c r="AM31" s="495"/>
      <c r="AN31" s="257"/>
      <c r="AO31" s="496"/>
      <c r="AP31" s="495"/>
      <c r="AQ31" s="257"/>
      <c r="AR31" s="496"/>
      <c r="AS31" s="495"/>
      <c r="AT31" s="257"/>
      <c r="AU31" s="496"/>
      <c r="AV31" s="495"/>
      <c r="AW31" s="257"/>
      <c r="AX31" s="496"/>
      <c r="AY31" s="495"/>
      <c r="AZ31" s="257"/>
      <c r="BA31" s="496"/>
      <c r="BB31" s="492"/>
      <c r="BC31" s="493"/>
      <c r="BD31" s="494"/>
      <c r="BE31" s="492"/>
      <c r="BF31" s="493"/>
      <c r="BG31" s="494"/>
      <c r="BH31" s="495"/>
      <c r="BI31" s="257"/>
      <c r="BJ31" s="496"/>
      <c r="BK31" s="495"/>
      <c r="BL31" s="257"/>
      <c r="BM31" s="496"/>
      <c r="BN31" s="495"/>
      <c r="BO31" s="257"/>
      <c r="BP31" s="496"/>
      <c r="BQ31" s="495"/>
      <c r="BR31" s="257"/>
      <c r="BS31" s="496"/>
      <c r="BT31" s="495"/>
      <c r="BU31" s="257"/>
      <c r="BV31" s="496"/>
      <c r="BW31" s="492"/>
      <c r="BX31" s="493"/>
      <c r="BY31" s="494"/>
      <c r="BZ31" s="492"/>
      <c r="CA31" s="493"/>
      <c r="CB31" s="494"/>
      <c r="CC31" s="492"/>
      <c r="CD31" s="493"/>
      <c r="CE31" s="494"/>
      <c r="CF31" s="492"/>
      <c r="CG31" s="493"/>
      <c r="CH31" s="494"/>
      <c r="CI31" s="492"/>
      <c r="CJ31" s="493"/>
      <c r="CK31" s="494"/>
      <c r="CL31" s="495"/>
      <c r="CM31" s="257"/>
      <c r="CN31" s="496"/>
      <c r="CO31" s="495"/>
      <c r="CP31" s="257"/>
      <c r="CQ31" s="497"/>
      <c r="CR31" s="489">
        <f t="shared" ref="CR31:CT31" si="26">C31+F31+I31+L31+O31+R31+U31+X31+AA31+AD31+AG31+AJ31+AM31+AP31+AS31+AV31+AY31+BB31+BE31+BH31+BK31+BN31+BQ31+BT31+BW31+BZ31+CC31+CF31+CI31+CL31+CO31</f>
        <v>0</v>
      </c>
      <c r="CS31" s="489">
        <f t="shared" si="26"/>
        <v>0</v>
      </c>
      <c r="CT31" s="489">
        <f t="shared" si="26"/>
        <v>0</v>
      </c>
      <c r="CU31" s="467"/>
    </row>
    <row r="32" ht="11.25" customHeight="1">
      <c r="A32" s="498">
        <v>27.0</v>
      </c>
      <c r="B32" s="491" t="s">
        <v>334</v>
      </c>
      <c r="C32" s="492"/>
      <c r="D32" s="493"/>
      <c r="E32" s="494"/>
      <c r="F32" s="495"/>
      <c r="G32" s="257"/>
      <c r="H32" s="496"/>
      <c r="I32" s="495"/>
      <c r="J32" s="257"/>
      <c r="K32" s="496"/>
      <c r="L32" s="492"/>
      <c r="M32" s="493"/>
      <c r="N32" s="494"/>
      <c r="O32" s="492"/>
      <c r="P32" s="493"/>
      <c r="Q32" s="494"/>
      <c r="R32" s="495"/>
      <c r="S32" s="257"/>
      <c r="T32" s="496"/>
      <c r="U32" s="495"/>
      <c r="V32" s="257"/>
      <c r="W32" s="496"/>
      <c r="X32" s="495"/>
      <c r="Y32" s="257"/>
      <c r="Z32" s="496"/>
      <c r="AA32" s="495"/>
      <c r="AB32" s="257"/>
      <c r="AC32" s="496"/>
      <c r="AD32" s="495"/>
      <c r="AE32" s="257"/>
      <c r="AF32" s="496"/>
      <c r="AG32" s="492"/>
      <c r="AH32" s="493"/>
      <c r="AI32" s="494"/>
      <c r="AJ32" s="492"/>
      <c r="AK32" s="493"/>
      <c r="AL32" s="494"/>
      <c r="AM32" s="495"/>
      <c r="AN32" s="257"/>
      <c r="AO32" s="496"/>
      <c r="AP32" s="495"/>
      <c r="AQ32" s="257"/>
      <c r="AR32" s="496"/>
      <c r="AS32" s="495"/>
      <c r="AT32" s="257"/>
      <c r="AU32" s="496"/>
      <c r="AV32" s="495"/>
      <c r="AW32" s="257"/>
      <c r="AX32" s="496"/>
      <c r="AY32" s="495"/>
      <c r="AZ32" s="257"/>
      <c r="BA32" s="496"/>
      <c r="BB32" s="492"/>
      <c r="BC32" s="493"/>
      <c r="BD32" s="494"/>
      <c r="BE32" s="492"/>
      <c r="BF32" s="493"/>
      <c r="BG32" s="494"/>
      <c r="BH32" s="495"/>
      <c r="BI32" s="257"/>
      <c r="BJ32" s="496"/>
      <c r="BK32" s="495"/>
      <c r="BL32" s="257"/>
      <c r="BM32" s="496"/>
      <c r="BN32" s="495"/>
      <c r="BO32" s="257"/>
      <c r="BP32" s="496"/>
      <c r="BQ32" s="495"/>
      <c r="BR32" s="257"/>
      <c r="BS32" s="496"/>
      <c r="BT32" s="495"/>
      <c r="BU32" s="257"/>
      <c r="BV32" s="496"/>
      <c r="BW32" s="492"/>
      <c r="BX32" s="493"/>
      <c r="BY32" s="494"/>
      <c r="BZ32" s="492"/>
      <c r="CA32" s="493"/>
      <c r="CB32" s="494"/>
      <c r="CC32" s="492"/>
      <c r="CD32" s="493"/>
      <c r="CE32" s="494"/>
      <c r="CF32" s="492"/>
      <c r="CG32" s="493"/>
      <c r="CH32" s="494"/>
      <c r="CI32" s="492"/>
      <c r="CJ32" s="493"/>
      <c r="CK32" s="494"/>
      <c r="CL32" s="495"/>
      <c r="CM32" s="257"/>
      <c r="CN32" s="496"/>
      <c r="CO32" s="495"/>
      <c r="CP32" s="257"/>
      <c r="CQ32" s="497"/>
      <c r="CR32" s="489">
        <f t="shared" ref="CR32:CT32" si="27">C32+F32+I32+L32+O32+R32+U32+X32+AA32+AD32+AG32+AJ32+AM32+AP32+AS32+AV32+AY32+BB32+BE32+BH32+BK32+BN32+BQ32+BT32+BW32+BZ32+CC32+CF32+CI32+CL32+CO32</f>
        <v>0</v>
      </c>
      <c r="CS32" s="489">
        <f t="shared" si="27"/>
        <v>0</v>
      </c>
      <c r="CT32" s="489">
        <f t="shared" si="27"/>
        <v>0</v>
      </c>
      <c r="CU32" s="467"/>
    </row>
    <row r="33" ht="11.25" customHeight="1">
      <c r="A33" s="490">
        <v>28.0</v>
      </c>
      <c r="B33" s="491" t="s">
        <v>335</v>
      </c>
      <c r="C33" s="492"/>
      <c r="D33" s="493"/>
      <c r="E33" s="494"/>
      <c r="F33" s="495"/>
      <c r="G33" s="257"/>
      <c r="H33" s="496"/>
      <c r="I33" s="495"/>
      <c r="J33" s="257"/>
      <c r="K33" s="496"/>
      <c r="L33" s="492"/>
      <c r="M33" s="493"/>
      <c r="N33" s="494"/>
      <c r="O33" s="492"/>
      <c r="P33" s="493"/>
      <c r="Q33" s="494"/>
      <c r="R33" s="495"/>
      <c r="S33" s="257"/>
      <c r="T33" s="496"/>
      <c r="U33" s="495"/>
      <c r="V33" s="257"/>
      <c r="W33" s="496">
        <v>1.0</v>
      </c>
      <c r="X33" s="495"/>
      <c r="Y33" s="257">
        <v>1.0</v>
      </c>
      <c r="Z33" s="496"/>
      <c r="AA33" s="495"/>
      <c r="AB33" s="257"/>
      <c r="AC33" s="496"/>
      <c r="AD33" s="495"/>
      <c r="AE33" s="257"/>
      <c r="AF33" s="496"/>
      <c r="AG33" s="492"/>
      <c r="AH33" s="493"/>
      <c r="AI33" s="494"/>
      <c r="AJ33" s="492"/>
      <c r="AK33" s="493"/>
      <c r="AL33" s="494"/>
      <c r="AM33" s="495"/>
      <c r="AN33" s="257"/>
      <c r="AO33" s="496"/>
      <c r="AP33" s="495"/>
      <c r="AQ33" s="257"/>
      <c r="AR33" s="496"/>
      <c r="AS33" s="495"/>
      <c r="AT33" s="257"/>
      <c r="AU33" s="496"/>
      <c r="AV33" s="495"/>
      <c r="AW33" s="257"/>
      <c r="AX33" s="496">
        <v>1.0</v>
      </c>
      <c r="AY33" s="495"/>
      <c r="AZ33" s="257"/>
      <c r="BA33" s="496"/>
      <c r="BB33" s="492"/>
      <c r="BC33" s="493"/>
      <c r="BD33" s="494"/>
      <c r="BE33" s="492"/>
      <c r="BF33" s="493"/>
      <c r="BG33" s="494"/>
      <c r="BH33" s="495"/>
      <c r="BI33" s="257"/>
      <c r="BJ33" s="496"/>
      <c r="BK33" s="495"/>
      <c r="BL33" s="257"/>
      <c r="BM33" s="496"/>
      <c r="BN33" s="495"/>
      <c r="BO33" s="257"/>
      <c r="BP33" s="496"/>
      <c r="BQ33" s="495"/>
      <c r="BR33" s="257"/>
      <c r="BS33" s="496"/>
      <c r="BT33" s="495"/>
      <c r="BU33" s="257"/>
      <c r="BV33" s="496"/>
      <c r="BW33" s="492"/>
      <c r="BX33" s="493"/>
      <c r="BY33" s="494"/>
      <c r="BZ33" s="492"/>
      <c r="CA33" s="493"/>
      <c r="CB33" s="494"/>
      <c r="CC33" s="492"/>
      <c r="CD33" s="493"/>
      <c r="CE33" s="494"/>
      <c r="CF33" s="492"/>
      <c r="CG33" s="493"/>
      <c r="CH33" s="494"/>
      <c r="CI33" s="492"/>
      <c r="CJ33" s="493"/>
      <c r="CK33" s="494"/>
      <c r="CL33" s="495"/>
      <c r="CM33" s="257"/>
      <c r="CN33" s="496"/>
      <c r="CO33" s="495"/>
      <c r="CP33" s="257"/>
      <c r="CQ33" s="497"/>
      <c r="CR33" s="489">
        <f t="shared" ref="CR33:CT33" si="28">C33+F33+I33+L33+O33+R33+U33+X33+AA33+AD33+AG33+AJ33+AM33+AP33+AS33+AV33+AY33+BB33+BE33+BH33+BK33+BN33+BQ33+BT33+BW33+BZ33+CC33+CF33+CI33+CL33+CO33</f>
        <v>0</v>
      </c>
      <c r="CS33" s="489">
        <f t="shared" si="28"/>
        <v>1</v>
      </c>
      <c r="CT33" s="489">
        <f t="shared" si="28"/>
        <v>2</v>
      </c>
      <c r="CU33" s="467"/>
    </row>
    <row r="34" ht="11.25" customHeight="1">
      <c r="A34" s="498">
        <v>29.0</v>
      </c>
      <c r="B34" s="491" t="s">
        <v>336</v>
      </c>
      <c r="C34" s="492"/>
      <c r="D34" s="493"/>
      <c r="E34" s="494"/>
      <c r="F34" s="495"/>
      <c r="G34" s="257"/>
      <c r="H34" s="496"/>
      <c r="I34" s="495"/>
      <c r="J34" s="257"/>
      <c r="K34" s="496"/>
      <c r="L34" s="492"/>
      <c r="M34" s="493"/>
      <c r="N34" s="494"/>
      <c r="O34" s="492"/>
      <c r="P34" s="493"/>
      <c r="Q34" s="494"/>
      <c r="R34" s="495"/>
      <c r="S34" s="257"/>
      <c r="T34" s="496"/>
      <c r="U34" s="495"/>
      <c r="V34" s="257"/>
      <c r="W34" s="496"/>
      <c r="X34" s="495"/>
      <c r="Y34" s="257"/>
      <c r="Z34" s="496"/>
      <c r="AA34" s="495"/>
      <c r="AB34" s="257"/>
      <c r="AC34" s="496"/>
      <c r="AD34" s="495"/>
      <c r="AE34" s="257"/>
      <c r="AF34" s="496"/>
      <c r="AG34" s="492"/>
      <c r="AH34" s="493"/>
      <c r="AI34" s="494"/>
      <c r="AJ34" s="492"/>
      <c r="AK34" s="493"/>
      <c r="AL34" s="494"/>
      <c r="AM34" s="495"/>
      <c r="AN34" s="257"/>
      <c r="AO34" s="496"/>
      <c r="AP34" s="495"/>
      <c r="AQ34" s="257"/>
      <c r="AR34" s="496"/>
      <c r="AS34" s="495"/>
      <c r="AT34" s="257"/>
      <c r="AU34" s="496"/>
      <c r="AV34" s="495"/>
      <c r="AW34" s="257">
        <v>1.0</v>
      </c>
      <c r="AX34" s="496"/>
      <c r="AY34" s="495"/>
      <c r="AZ34" s="257"/>
      <c r="BA34" s="496"/>
      <c r="BB34" s="492"/>
      <c r="BC34" s="493"/>
      <c r="BD34" s="494"/>
      <c r="BE34" s="492"/>
      <c r="BF34" s="493"/>
      <c r="BG34" s="494"/>
      <c r="BH34" s="495"/>
      <c r="BI34" s="257"/>
      <c r="BJ34" s="496"/>
      <c r="BK34" s="495"/>
      <c r="BL34" s="257"/>
      <c r="BM34" s="496"/>
      <c r="BN34" s="495"/>
      <c r="BO34" s="257"/>
      <c r="BP34" s="496"/>
      <c r="BQ34" s="495"/>
      <c r="BR34" s="257"/>
      <c r="BS34" s="496"/>
      <c r="BT34" s="495"/>
      <c r="BU34" s="257"/>
      <c r="BV34" s="496"/>
      <c r="BW34" s="492"/>
      <c r="BX34" s="493"/>
      <c r="BY34" s="494"/>
      <c r="BZ34" s="492"/>
      <c r="CA34" s="493"/>
      <c r="CB34" s="494"/>
      <c r="CC34" s="492"/>
      <c r="CD34" s="493"/>
      <c r="CE34" s="494"/>
      <c r="CF34" s="492"/>
      <c r="CG34" s="493"/>
      <c r="CH34" s="494"/>
      <c r="CI34" s="492"/>
      <c r="CJ34" s="493"/>
      <c r="CK34" s="494"/>
      <c r="CL34" s="495"/>
      <c r="CM34" s="257"/>
      <c r="CN34" s="496"/>
      <c r="CO34" s="495"/>
      <c r="CP34" s="257"/>
      <c r="CQ34" s="497"/>
      <c r="CR34" s="489">
        <f t="shared" ref="CR34:CT34" si="29">C34+F34+I34+L34+O34+R34+U34+X34+AA34+AD34+AG34+AJ34+AM34+AP34+AS34+AV34+AY34+BB34+BE34+BH34+BK34+BN34+BQ34+BT34+BW34+BZ34+CC34+CF34+CI34+CL34+CO34</f>
        <v>0</v>
      </c>
      <c r="CS34" s="489">
        <f t="shared" si="29"/>
        <v>1</v>
      </c>
      <c r="CT34" s="489">
        <f t="shared" si="29"/>
        <v>0</v>
      </c>
      <c r="CU34" s="467"/>
    </row>
    <row r="35" ht="11.25" customHeight="1">
      <c r="A35" s="490">
        <v>30.0</v>
      </c>
      <c r="B35" s="528" t="s">
        <v>127</v>
      </c>
      <c r="C35" s="492"/>
      <c r="D35" s="493"/>
      <c r="E35" s="494"/>
      <c r="F35" s="495"/>
      <c r="G35" s="257"/>
      <c r="H35" s="496"/>
      <c r="I35" s="495"/>
      <c r="J35" s="257"/>
      <c r="K35" s="496"/>
      <c r="L35" s="492"/>
      <c r="M35" s="493"/>
      <c r="N35" s="494"/>
      <c r="O35" s="492"/>
      <c r="P35" s="493"/>
      <c r="Q35" s="494"/>
      <c r="R35" s="495"/>
      <c r="S35" s="257"/>
      <c r="T35" s="496"/>
      <c r="U35" s="495"/>
      <c r="V35" s="257"/>
      <c r="W35" s="496"/>
      <c r="X35" s="495"/>
      <c r="Y35" s="257"/>
      <c r="Z35" s="496"/>
      <c r="AA35" s="495"/>
      <c r="AB35" s="257"/>
      <c r="AC35" s="496"/>
      <c r="AD35" s="495"/>
      <c r="AE35" s="257"/>
      <c r="AF35" s="496"/>
      <c r="AG35" s="492"/>
      <c r="AH35" s="493"/>
      <c r="AI35" s="494"/>
      <c r="AJ35" s="492"/>
      <c r="AK35" s="493"/>
      <c r="AL35" s="494"/>
      <c r="AM35" s="495"/>
      <c r="AN35" s="257"/>
      <c r="AO35" s="496"/>
      <c r="AP35" s="495"/>
      <c r="AQ35" s="257"/>
      <c r="AR35" s="496"/>
      <c r="AS35" s="495"/>
      <c r="AT35" s="257"/>
      <c r="AU35" s="496"/>
      <c r="AV35" s="495"/>
      <c r="AW35" s="257">
        <v>1.0</v>
      </c>
      <c r="AX35" s="496"/>
      <c r="AY35" s="495"/>
      <c r="AZ35" s="257"/>
      <c r="BA35" s="496"/>
      <c r="BB35" s="492"/>
      <c r="BC35" s="493"/>
      <c r="BD35" s="494"/>
      <c r="BE35" s="492"/>
      <c r="BF35" s="493"/>
      <c r="BG35" s="494"/>
      <c r="BH35" s="495"/>
      <c r="BI35" s="257"/>
      <c r="BJ35" s="496"/>
      <c r="BK35" s="495"/>
      <c r="BL35" s="257"/>
      <c r="BM35" s="496"/>
      <c r="BN35" s="495"/>
      <c r="BO35" s="257"/>
      <c r="BP35" s="496"/>
      <c r="BQ35" s="495"/>
      <c r="BR35" s="257"/>
      <c r="BS35" s="496"/>
      <c r="BT35" s="495"/>
      <c r="BU35" s="257"/>
      <c r="BV35" s="496"/>
      <c r="BW35" s="492"/>
      <c r="BX35" s="493"/>
      <c r="BY35" s="494"/>
      <c r="BZ35" s="492"/>
      <c r="CA35" s="493"/>
      <c r="CB35" s="494"/>
      <c r="CC35" s="492"/>
      <c r="CD35" s="493"/>
      <c r="CE35" s="494"/>
      <c r="CF35" s="492"/>
      <c r="CG35" s="493"/>
      <c r="CH35" s="494"/>
      <c r="CI35" s="492"/>
      <c r="CJ35" s="493"/>
      <c r="CK35" s="494"/>
      <c r="CL35" s="495"/>
      <c r="CM35" s="257"/>
      <c r="CN35" s="496"/>
      <c r="CO35" s="495"/>
      <c r="CP35" s="257"/>
      <c r="CQ35" s="497"/>
      <c r="CR35" s="489">
        <f t="shared" ref="CR35:CT35" si="30">C35+F35+I35+L35+O35+R35+U35+X35+AA35+AD35+AG35+AJ35+AM35+AP35+AS35+AV35+AY35+BB35+BE35+BH35+BK35+BN35+BQ35+BT35+BW35+BZ35+CC35+CF35+CI35+CL35+CO35</f>
        <v>0</v>
      </c>
      <c r="CS35" s="489">
        <f t="shared" si="30"/>
        <v>1</v>
      </c>
      <c r="CT35" s="489">
        <f t="shared" si="30"/>
        <v>0</v>
      </c>
      <c r="CU35" s="467"/>
    </row>
    <row r="36" ht="11.25" customHeight="1">
      <c r="A36" s="498">
        <v>31.0</v>
      </c>
      <c r="B36" s="491" t="s">
        <v>132</v>
      </c>
      <c r="C36" s="492"/>
      <c r="D36" s="493"/>
      <c r="E36" s="494"/>
      <c r="F36" s="495"/>
      <c r="G36" s="257"/>
      <c r="H36" s="496"/>
      <c r="I36" s="495"/>
      <c r="J36" s="257"/>
      <c r="K36" s="496"/>
      <c r="L36" s="492"/>
      <c r="M36" s="493"/>
      <c r="N36" s="494"/>
      <c r="O36" s="492"/>
      <c r="P36" s="493"/>
      <c r="Q36" s="494"/>
      <c r="R36" s="495"/>
      <c r="S36" s="257"/>
      <c r="T36" s="496"/>
      <c r="U36" s="495"/>
      <c r="V36" s="257"/>
      <c r="W36" s="496"/>
      <c r="X36" s="495"/>
      <c r="Y36" s="257"/>
      <c r="Z36" s="496"/>
      <c r="AA36" s="495"/>
      <c r="AB36" s="257"/>
      <c r="AC36" s="496"/>
      <c r="AD36" s="495"/>
      <c r="AE36" s="257"/>
      <c r="AF36" s="496"/>
      <c r="AG36" s="492"/>
      <c r="AH36" s="493"/>
      <c r="AI36" s="494"/>
      <c r="AJ36" s="492"/>
      <c r="AK36" s="493"/>
      <c r="AL36" s="494"/>
      <c r="AM36" s="495"/>
      <c r="AN36" s="257"/>
      <c r="AO36" s="496"/>
      <c r="AP36" s="495"/>
      <c r="AQ36" s="257"/>
      <c r="AR36" s="496"/>
      <c r="AS36" s="495"/>
      <c r="AT36" s="257"/>
      <c r="AU36" s="496"/>
      <c r="AV36" s="495"/>
      <c r="AW36" s="257"/>
      <c r="AX36" s="496"/>
      <c r="AY36" s="495"/>
      <c r="AZ36" s="257"/>
      <c r="BA36" s="496"/>
      <c r="BB36" s="492"/>
      <c r="BC36" s="493"/>
      <c r="BD36" s="494"/>
      <c r="BE36" s="492"/>
      <c r="BF36" s="493"/>
      <c r="BG36" s="494"/>
      <c r="BH36" s="495"/>
      <c r="BI36" s="257"/>
      <c r="BJ36" s="496"/>
      <c r="BK36" s="495"/>
      <c r="BL36" s="257"/>
      <c r="BM36" s="496"/>
      <c r="BN36" s="495"/>
      <c r="BO36" s="257"/>
      <c r="BP36" s="496"/>
      <c r="BQ36" s="495"/>
      <c r="BR36" s="257"/>
      <c r="BS36" s="496"/>
      <c r="BT36" s="495"/>
      <c r="BU36" s="257"/>
      <c r="BV36" s="496"/>
      <c r="BW36" s="492"/>
      <c r="BX36" s="493"/>
      <c r="BY36" s="494"/>
      <c r="BZ36" s="492"/>
      <c r="CA36" s="493"/>
      <c r="CB36" s="494"/>
      <c r="CC36" s="492"/>
      <c r="CD36" s="493"/>
      <c r="CE36" s="494"/>
      <c r="CF36" s="492"/>
      <c r="CG36" s="493"/>
      <c r="CH36" s="494"/>
      <c r="CI36" s="492"/>
      <c r="CJ36" s="493"/>
      <c r="CK36" s="494"/>
      <c r="CL36" s="495"/>
      <c r="CM36" s="257"/>
      <c r="CN36" s="496"/>
      <c r="CO36" s="495"/>
      <c r="CP36" s="257"/>
      <c r="CQ36" s="497"/>
      <c r="CR36" s="489">
        <f t="shared" ref="CR36:CT36" si="31">C36+F36+I36+L36+O36+R36+U36+X36+AA36+AD36+AG36+AJ36+AM36+AP36+AS36+AV36+AY36+BB36+BE36+BH36+BK36+BN36+BQ36+BT36+BW36+BZ36+CC36+CF36+CI36+CL36+CO36</f>
        <v>0</v>
      </c>
      <c r="CS36" s="489">
        <f t="shared" si="31"/>
        <v>0</v>
      </c>
      <c r="CT36" s="489">
        <f t="shared" si="31"/>
        <v>0</v>
      </c>
      <c r="CU36" s="467"/>
    </row>
    <row r="37" ht="11.25" customHeight="1">
      <c r="A37" s="490">
        <v>32.0</v>
      </c>
      <c r="B37" s="491" t="s">
        <v>138</v>
      </c>
      <c r="C37" s="492"/>
      <c r="D37" s="493"/>
      <c r="E37" s="494"/>
      <c r="F37" s="495"/>
      <c r="G37" s="257"/>
      <c r="H37" s="496"/>
      <c r="I37" s="495"/>
      <c r="J37" s="257"/>
      <c r="K37" s="496"/>
      <c r="L37" s="492"/>
      <c r="M37" s="493"/>
      <c r="N37" s="494"/>
      <c r="O37" s="492"/>
      <c r="P37" s="493"/>
      <c r="Q37" s="494"/>
      <c r="R37" s="495"/>
      <c r="S37" s="257"/>
      <c r="T37" s="496"/>
      <c r="U37" s="495"/>
      <c r="V37" s="257"/>
      <c r="W37" s="496"/>
      <c r="X37" s="495"/>
      <c r="Y37" s="257"/>
      <c r="Z37" s="496"/>
      <c r="AA37" s="495"/>
      <c r="AB37" s="257"/>
      <c r="AC37" s="496"/>
      <c r="AD37" s="495"/>
      <c r="AE37" s="257"/>
      <c r="AF37" s="496"/>
      <c r="AG37" s="492"/>
      <c r="AH37" s="493"/>
      <c r="AI37" s="494"/>
      <c r="AJ37" s="492"/>
      <c r="AK37" s="493"/>
      <c r="AL37" s="494"/>
      <c r="AM37" s="495"/>
      <c r="AN37" s="257"/>
      <c r="AO37" s="496"/>
      <c r="AP37" s="495"/>
      <c r="AQ37" s="257"/>
      <c r="AR37" s="496"/>
      <c r="AS37" s="495"/>
      <c r="AT37" s="257"/>
      <c r="AU37" s="496"/>
      <c r="AV37" s="495"/>
      <c r="AW37" s="257"/>
      <c r="AX37" s="496"/>
      <c r="AY37" s="495"/>
      <c r="AZ37" s="257"/>
      <c r="BA37" s="496"/>
      <c r="BB37" s="492"/>
      <c r="BC37" s="493"/>
      <c r="BD37" s="494"/>
      <c r="BE37" s="492"/>
      <c r="BF37" s="493"/>
      <c r="BG37" s="494"/>
      <c r="BH37" s="495"/>
      <c r="BI37" s="257"/>
      <c r="BJ37" s="496"/>
      <c r="BK37" s="495"/>
      <c r="BL37" s="257"/>
      <c r="BM37" s="496"/>
      <c r="BN37" s="495"/>
      <c r="BO37" s="257"/>
      <c r="BP37" s="496"/>
      <c r="BQ37" s="495"/>
      <c r="BR37" s="257"/>
      <c r="BS37" s="496"/>
      <c r="BT37" s="495"/>
      <c r="BU37" s="257"/>
      <c r="BV37" s="496"/>
      <c r="BW37" s="492"/>
      <c r="BX37" s="493"/>
      <c r="BY37" s="494"/>
      <c r="BZ37" s="492"/>
      <c r="CA37" s="493"/>
      <c r="CB37" s="494"/>
      <c r="CC37" s="492"/>
      <c r="CD37" s="493"/>
      <c r="CE37" s="494"/>
      <c r="CF37" s="492"/>
      <c r="CG37" s="493"/>
      <c r="CH37" s="494"/>
      <c r="CI37" s="492"/>
      <c r="CJ37" s="493"/>
      <c r="CK37" s="494"/>
      <c r="CL37" s="495"/>
      <c r="CM37" s="257"/>
      <c r="CN37" s="496"/>
      <c r="CO37" s="495"/>
      <c r="CP37" s="257"/>
      <c r="CQ37" s="497"/>
      <c r="CR37" s="489">
        <f t="shared" ref="CR37:CT37" si="32">C37+F37+I37+L37+O37+R37+U37+X37+AA37+AD37+AG37+AJ37+AM37+AP37+AS37+AV37+AY37+BB37+BE37+BH37+BK37+BN37+BQ37+BT37+BW37+BZ37+CC37+CF37+CI37+CL37+CO37</f>
        <v>0</v>
      </c>
      <c r="CS37" s="489">
        <f t="shared" si="32"/>
        <v>0</v>
      </c>
      <c r="CT37" s="489">
        <f t="shared" si="32"/>
        <v>0</v>
      </c>
      <c r="CU37" s="467"/>
    </row>
    <row r="38" ht="11.25" customHeight="1">
      <c r="A38" s="498">
        <v>33.0</v>
      </c>
      <c r="B38" s="528" t="s">
        <v>262</v>
      </c>
      <c r="C38" s="492"/>
      <c r="D38" s="493"/>
      <c r="E38" s="494"/>
      <c r="F38" s="495"/>
      <c r="G38" s="257"/>
      <c r="H38" s="496"/>
      <c r="I38" s="495"/>
      <c r="J38" s="257"/>
      <c r="K38" s="496"/>
      <c r="L38" s="492"/>
      <c r="M38" s="493"/>
      <c r="N38" s="494"/>
      <c r="O38" s="492"/>
      <c r="P38" s="493"/>
      <c r="Q38" s="494"/>
      <c r="R38" s="495"/>
      <c r="S38" s="257"/>
      <c r="T38" s="496"/>
      <c r="U38" s="495"/>
      <c r="V38" s="257"/>
      <c r="W38" s="496"/>
      <c r="X38" s="495"/>
      <c r="Y38" s="257"/>
      <c r="Z38" s="496"/>
      <c r="AA38" s="495"/>
      <c r="AB38" s="257"/>
      <c r="AC38" s="496"/>
      <c r="AD38" s="495"/>
      <c r="AE38" s="257"/>
      <c r="AF38" s="496"/>
      <c r="AG38" s="492"/>
      <c r="AH38" s="493"/>
      <c r="AI38" s="494"/>
      <c r="AJ38" s="492"/>
      <c r="AK38" s="493"/>
      <c r="AL38" s="494"/>
      <c r="AM38" s="495"/>
      <c r="AN38" s="257"/>
      <c r="AO38" s="496"/>
      <c r="AP38" s="495"/>
      <c r="AQ38" s="257"/>
      <c r="AR38" s="496">
        <v>1.0</v>
      </c>
      <c r="AS38" s="495"/>
      <c r="AT38" s="257"/>
      <c r="AU38" s="496">
        <v>1.0</v>
      </c>
      <c r="AV38" s="495"/>
      <c r="AW38" s="257"/>
      <c r="AX38" s="496"/>
      <c r="AY38" s="495"/>
      <c r="AZ38" s="257"/>
      <c r="BA38" s="496"/>
      <c r="BB38" s="492"/>
      <c r="BC38" s="493"/>
      <c r="BD38" s="494"/>
      <c r="BE38" s="492"/>
      <c r="BF38" s="493"/>
      <c r="BG38" s="494"/>
      <c r="BH38" s="495"/>
      <c r="BI38" s="257"/>
      <c r="BJ38" s="496"/>
      <c r="BK38" s="495"/>
      <c r="BL38" s="257"/>
      <c r="BM38" s="496"/>
      <c r="BN38" s="495"/>
      <c r="BO38" s="257"/>
      <c r="BP38" s="496"/>
      <c r="BQ38" s="495"/>
      <c r="BR38" s="257"/>
      <c r="BS38" s="496"/>
      <c r="BT38" s="495"/>
      <c r="BU38" s="257"/>
      <c r="BV38" s="496"/>
      <c r="BW38" s="492"/>
      <c r="BX38" s="493"/>
      <c r="BY38" s="494"/>
      <c r="BZ38" s="492"/>
      <c r="CA38" s="493"/>
      <c r="CB38" s="494"/>
      <c r="CC38" s="492"/>
      <c r="CD38" s="493"/>
      <c r="CE38" s="494"/>
      <c r="CF38" s="492"/>
      <c r="CG38" s="493"/>
      <c r="CH38" s="494"/>
      <c r="CI38" s="492"/>
      <c r="CJ38" s="493"/>
      <c r="CK38" s="494"/>
      <c r="CL38" s="495"/>
      <c r="CM38" s="257"/>
      <c r="CN38" s="496"/>
      <c r="CO38" s="495"/>
      <c r="CP38" s="257"/>
      <c r="CQ38" s="497"/>
      <c r="CR38" s="489">
        <f t="shared" ref="CR38:CT38" si="33">C38+F38+I38+L38+O38+R38+U38+X38+AA38+AD38+AG38+AJ38+AM38+AP38+AS38+AV38+AY38+BB38+BE38+BH38+BK38+BN38+BQ38+BT38+BW38+BZ38+CC38+CF38+CI38+CL38+CO38</f>
        <v>0</v>
      </c>
      <c r="CS38" s="489">
        <f t="shared" si="33"/>
        <v>0</v>
      </c>
      <c r="CT38" s="489">
        <f t="shared" si="33"/>
        <v>2</v>
      </c>
      <c r="CU38" s="467"/>
    </row>
    <row r="39" ht="11.25" customHeight="1">
      <c r="A39" s="490">
        <v>34.0</v>
      </c>
      <c r="B39" s="528" t="s">
        <v>146</v>
      </c>
      <c r="C39" s="492"/>
      <c r="D39" s="493"/>
      <c r="E39" s="494"/>
      <c r="F39" s="495"/>
      <c r="G39" s="257"/>
      <c r="H39" s="496"/>
      <c r="I39" s="495"/>
      <c r="J39" s="257"/>
      <c r="K39" s="496"/>
      <c r="L39" s="492"/>
      <c r="M39" s="493"/>
      <c r="N39" s="494"/>
      <c r="O39" s="492"/>
      <c r="P39" s="493"/>
      <c r="Q39" s="494"/>
      <c r="R39" s="495"/>
      <c r="S39" s="257"/>
      <c r="T39" s="496"/>
      <c r="U39" s="495"/>
      <c r="V39" s="257"/>
      <c r="W39" s="496"/>
      <c r="X39" s="495"/>
      <c r="Y39" s="257"/>
      <c r="Z39" s="496"/>
      <c r="AA39" s="495"/>
      <c r="AB39" s="257"/>
      <c r="AC39" s="496"/>
      <c r="AD39" s="495"/>
      <c r="AE39" s="257"/>
      <c r="AF39" s="496"/>
      <c r="AG39" s="492"/>
      <c r="AH39" s="493"/>
      <c r="AI39" s="494"/>
      <c r="AJ39" s="492"/>
      <c r="AK39" s="493"/>
      <c r="AL39" s="494"/>
      <c r="AM39" s="495"/>
      <c r="AN39" s="257"/>
      <c r="AO39" s="496"/>
      <c r="AP39" s="495"/>
      <c r="AQ39" s="257"/>
      <c r="AR39" s="496"/>
      <c r="AS39" s="495"/>
      <c r="AT39" s="257"/>
      <c r="AU39" s="496"/>
      <c r="AV39" s="495"/>
      <c r="AW39" s="257"/>
      <c r="AX39" s="496"/>
      <c r="AY39" s="495"/>
      <c r="AZ39" s="257"/>
      <c r="BA39" s="496"/>
      <c r="BB39" s="492"/>
      <c r="BC39" s="493"/>
      <c r="BD39" s="494"/>
      <c r="BE39" s="492"/>
      <c r="BF39" s="493"/>
      <c r="BG39" s="494"/>
      <c r="BH39" s="495"/>
      <c r="BI39" s="257"/>
      <c r="BJ39" s="496"/>
      <c r="BK39" s="495"/>
      <c r="BL39" s="257"/>
      <c r="BM39" s="496"/>
      <c r="BN39" s="495"/>
      <c r="BO39" s="257"/>
      <c r="BP39" s="496"/>
      <c r="BQ39" s="495"/>
      <c r="BR39" s="257"/>
      <c r="BS39" s="496"/>
      <c r="BT39" s="495"/>
      <c r="BU39" s="257"/>
      <c r="BV39" s="496"/>
      <c r="BW39" s="492"/>
      <c r="BX39" s="493"/>
      <c r="BY39" s="494"/>
      <c r="BZ39" s="492"/>
      <c r="CA39" s="493"/>
      <c r="CB39" s="494"/>
      <c r="CC39" s="492"/>
      <c r="CD39" s="493"/>
      <c r="CE39" s="494"/>
      <c r="CF39" s="492"/>
      <c r="CG39" s="493"/>
      <c r="CH39" s="494"/>
      <c r="CI39" s="492"/>
      <c r="CJ39" s="493"/>
      <c r="CK39" s="494"/>
      <c r="CL39" s="495"/>
      <c r="CM39" s="257"/>
      <c r="CN39" s="496"/>
      <c r="CO39" s="495"/>
      <c r="CP39" s="257"/>
      <c r="CQ39" s="497"/>
      <c r="CR39" s="489">
        <f t="shared" ref="CR39:CT39" si="34">C39+F39+I39+L39+O39+R39+U39+X39+AA39+AD39+AG39+AJ39+AM39+AP39+AS39+AV39+AY39+BB39+BE39+BH39+BK39+BN39+BQ39+BT39+BW39+BZ39+CC39+CF39+CI39+CL39+CO39</f>
        <v>0</v>
      </c>
      <c r="CS39" s="489">
        <f t="shared" si="34"/>
        <v>0</v>
      </c>
      <c r="CT39" s="489">
        <f t="shared" si="34"/>
        <v>0</v>
      </c>
      <c r="CU39" s="467"/>
    </row>
    <row r="40" ht="11.25" customHeight="1">
      <c r="A40" s="498">
        <v>35.0</v>
      </c>
      <c r="B40" s="491" t="s">
        <v>151</v>
      </c>
      <c r="C40" s="531"/>
      <c r="D40" s="532"/>
      <c r="E40" s="533"/>
      <c r="F40" s="534"/>
      <c r="G40" s="535"/>
      <c r="H40" s="536"/>
      <c r="I40" s="534"/>
      <c r="J40" s="535"/>
      <c r="K40" s="536"/>
      <c r="L40" s="531"/>
      <c r="M40" s="532"/>
      <c r="N40" s="533"/>
      <c r="O40" s="531"/>
      <c r="P40" s="532"/>
      <c r="Q40" s="533"/>
      <c r="R40" s="534"/>
      <c r="S40" s="535"/>
      <c r="T40" s="536"/>
      <c r="U40" s="534"/>
      <c r="V40" s="535"/>
      <c r="W40" s="536"/>
      <c r="X40" s="534"/>
      <c r="Y40" s="535"/>
      <c r="Z40" s="536"/>
      <c r="AA40" s="534"/>
      <c r="AB40" s="535"/>
      <c r="AC40" s="536"/>
      <c r="AD40" s="534"/>
      <c r="AE40" s="535"/>
      <c r="AF40" s="536"/>
      <c r="AG40" s="531"/>
      <c r="AH40" s="532"/>
      <c r="AI40" s="533"/>
      <c r="AJ40" s="531"/>
      <c r="AK40" s="532"/>
      <c r="AL40" s="533"/>
      <c r="AM40" s="534"/>
      <c r="AN40" s="535"/>
      <c r="AO40" s="536"/>
      <c r="AP40" s="534"/>
      <c r="AQ40" s="535"/>
      <c r="AR40" s="536"/>
      <c r="AS40" s="534"/>
      <c r="AT40" s="535"/>
      <c r="AU40" s="536"/>
      <c r="AV40" s="534"/>
      <c r="AW40" s="535"/>
      <c r="AX40" s="536"/>
      <c r="AY40" s="534"/>
      <c r="AZ40" s="535"/>
      <c r="BA40" s="536"/>
      <c r="BB40" s="531"/>
      <c r="BC40" s="532"/>
      <c r="BD40" s="533"/>
      <c r="BE40" s="531"/>
      <c r="BF40" s="532"/>
      <c r="BG40" s="533"/>
      <c r="BH40" s="534"/>
      <c r="BI40" s="535"/>
      <c r="BJ40" s="536"/>
      <c r="BK40" s="534"/>
      <c r="BL40" s="535"/>
      <c r="BM40" s="536"/>
      <c r="BN40" s="534"/>
      <c r="BO40" s="535"/>
      <c r="BP40" s="536"/>
      <c r="BQ40" s="534"/>
      <c r="BR40" s="535"/>
      <c r="BS40" s="536"/>
      <c r="BT40" s="534"/>
      <c r="BU40" s="535"/>
      <c r="BV40" s="536"/>
      <c r="BW40" s="531"/>
      <c r="BX40" s="532"/>
      <c r="BY40" s="533"/>
      <c r="BZ40" s="531"/>
      <c r="CA40" s="532"/>
      <c r="CB40" s="533"/>
      <c r="CC40" s="531"/>
      <c r="CD40" s="532"/>
      <c r="CE40" s="533"/>
      <c r="CF40" s="531"/>
      <c r="CG40" s="532"/>
      <c r="CH40" s="533"/>
      <c r="CI40" s="531"/>
      <c r="CJ40" s="532"/>
      <c r="CK40" s="533"/>
      <c r="CL40" s="534"/>
      <c r="CM40" s="535"/>
      <c r="CN40" s="536"/>
      <c r="CO40" s="534"/>
      <c r="CP40" s="535"/>
      <c r="CQ40" s="537"/>
      <c r="CR40" s="489">
        <f t="shared" ref="CR40:CT40" si="35">C40+F40+I40+L40+O40+R40+U40+X40+AA40+AD40+AG40+AJ40+AM40+AP40+AS40+AV40+AY40+BB40+BE40+BH40+BK40+BN40+BQ40+BT40+BW40+BZ40+CC40+CF40+CI40+CL40+CO40</f>
        <v>0</v>
      </c>
      <c r="CS40" s="489">
        <f t="shared" si="35"/>
        <v>0</v>
      </c>
      <c r="CT40" s="489">
        <f t="shared" si="35"/>
        <v>0</v>
      </c>
      <c r="CU40" s="5"/>
    </row>
    <row r="41" ht="11.25" customHeight="1">
      <c r="A41" s="490">
        <v>36.0</v>
      </c>
      <c r="B41" s="491" t="s">
        <v>158</v>
      </c>
      <c r="C41" s="531"/>
      <c r="D41" s="532"/>
      <c r="E41" s="533"/>
      <c r="F41" s="534"/>
      <c r="G41" s="535"/>
      <c r="H41" s="536"/>
      <c r="I41" s="534"/>
      <c r="J41" s="535"/>
      <c r="K41" s="536"/>
      <c r="L41" s="531"/>
      <c r="M41" s="532"/>
      <c r="N41" s="533"/>
      <c r="O41" s="531"/>
      <c r="P41" s="532"/>
      <c r="Q41" s="533"/>
      <c r="R41" s="534"/>
      <c r="S41" s="535"/>
      <c r="T41" s="536"/>
      <c r="U41" s="534"/>
      <c r="V41" s="535"/>
      <c r="W41" s="536"/>
      <c r="X41" s="534"/>
      <c r="Y41" s="535"/>
      <c r="Z41" s="536"/>
      <c r="AA41" s="534"/>
      <c r="AB41" s="535"/>
      <c r="AC41" s="536"/>
      <c r="AD41" s="534"/>
      <c r="AE41" s="535"/>
      <c r="AF41" s="536"/>
      <c r="AG41" s="531"/>
      <c r="AH41" s="532"/>
      <c r="AI41" s="533"/>
      <c r="AJ41" s="531"/>
      <c r="AK41" s="532"/>
      <c r="AL41" s="533"/>
      <c r="AM41" s="534"/>
      <c r="AN41" s="535"/>
      <c r="AO41" s="536"/>
      <c r="AP41" s="534"/>
      <c r="AQ41" s="535"/>
      <c r="AR41" s="536"/>
      <c r="AS41" s="534"/>
      <c r="AT41" s="535"/>
      <c r="AU41" s="536"/>
      <c r="AV41" s="534"/>
      <c r="AW41" s="535"/>
      <c r="AX41" s="536"/>
      <c r="AY41" s="534"/>
      <c r="AZ41" s="535"/>
      <c r="BA41" s="536"/>
      <c r="BB41" s="531"/>
      <c r="BC41" s="532"/>
      <c r="BD41" s="533"/>
      <c r="BE41" s="531"/>
      <c r="BF41" s="532"/>
      <c r="BG41" s="533"/>
      <c r="BH41" s="534"/>
      <c r="BI41" s="535"/>
      <c r="BJ41" s="536"/>
      <c r="BK41" s="534"/>
      <c r="BL41" s="535"/>
      <c r="BM41" s="536"/>
      <c r="BN41" s="534"/>
      <c r="BO41" s="535"/>
      <c r="BP41" s="536"/>
      <c r="BQ41" s="534"/>
      <c r="BR41" s="535"/>
      <c r="BS41" s="536"/>
      <c r="BT41" s="534"/>
      <c r="BU41" s="535"/>
      <c r="BV41" s="536"/>
      <c r="BW41" s="531"/>
      <c r="BX41" s="532"/>
      <c r="BY41" s="533"/>
      <c r="BZ41" s="531"/>
      <c r="CA41" s="532"/>
      <c r="CB41" s="533"/>
      <c r="CC41" s="531"/>
      <c r="CD41" s="532"/>
      <c r="CE41" s="533"/>
      <c r="CF41" s="531"/>
      <c r="CG41" s="532"/>
      <c r="CH41" s="533"/>
      <c r="CI41" s="531"/>
      <c r="CJ41" s="532"/>
      <c r="CK41" s="533"/>
      <c r="CL41" s="534"/>
      <c r="CM41" s="535"/>
      <c r="CN41" s="536"/>
      <c r="CO41" s="534"/>
      <c r="CP41" s="535"/>
      <c r="CQ41" s="537"/>
      <c r="CR41" s="489">
        <f t="shared" ref="CR41:CT41" si="36">C41+F41+I41+L41+O41+R41+U41+X41+AA41+AD41+AG41+AJ41+AM41+AP41+AS41+AV41+AY41+BB41+BE41+BH41+BK41+BN41+BQ41+BT41+BW41+BZ41+CC41+CF41+CI41+CL41+CO41</f>
        <v>0</v>
      </c>
      <c r="CS41" s="489">
        <f t="shared" si="36"/>
        <v>0</v>
      </c>
      <c r="CT41" s="489">
        <f t="shared" si="36"/>
        <v>0</v>
      </c>
      <c r="CU41" s="5"/>
    </row>
    <row r="42" ht="11.25" customHeight="1">
      <c r="A42" s="498">
        <v>37.0</v>
      </c>
      <c r="B42" s="491" t="s">
        <v>278</v>
      </c>
      <c r="C42" s="531"/>
      <c r="D42" s="532"/>
      <c r="E42" s="533"/>
      <c r="F42" s="534"/>
      <c r="G42" s="535"/>
      <c r="H42" s="536"/>
      <c r="I42" s="534"/>
      <c r="J42" s="535"/>
      <c r="K42" s="536"/>
      <c r="L42" s="531"/>
      <c r="M42" s="532"/>
      <c r="N42" s="533"/>
      <c r="O42" s="531"/>
      <c r="P42" s="532"/>
      <c r="Q42" s="533"/>
      <c r="R42" s="534"/>
      <c r="S42" s="535"/>
      <c r="T42" s="536"/>
      <c r="U42" s="534"/>
      <c r="V42" s="535"/>
      <c r="W42" s="536"/>
      <c r="X42" s="534"/>
      <c r="Y42" s="535"/>
      <c r="Z42" s="536"/>
      <c r="AA42" s="534"/>
      <c r="AB42" s="535"/>
      <c r="AC42" s="536"/>
      <c r="AD42" s="534"/>
      <c r="AE42" s="535"/>
      <c r="AF42" s="536"/>
      <c r="AG42" s="531"/>
      <c r="AH42" s="532"/>
      <c r="AI42" s="533"/>
      <c r="AJ42" s="531"/>
      <c r="AK42" s="532"/>
      <c r="AL42" s="533"/>
      <c r="AM42" s="534"/>
      <c r="AN42" s="535"/>
      <c r="AO42" s="536"/>
      <c r="AP42" s="534"/>
      <c r="AQ42" s="535"/>
      <c r="AR42" s="536"/>
      <c r="AS42" s="534"/>
      <c r="AT42" s="535"/>
      <c r="AU42" s="536"/>
      <c r="AV42" s="534"/>
      <c r="AW42" s="535"/>
      <c r="AX42" s="536"/>
      <c r="AY42" s="534"/>
      <c r="AZ42" s="535"/>
      <c r="BA42" s="536"/>
      <c r="BB42" s="531"/>
      <c r="BC42" s="532"/>
      <c r="BD42" s="533"/>
      <c r="BE42" s="531"/>
      <c r="BF42" s="532"/>
      <c r="BG42" s="533"/>
      <c r="BH42" s="534"/>
      <c r="BI42" s="535"/>
      <c r="BJ42" s="536"/>
      <c r="BK42" s="534"/>
      <c r="BL42" s="535"/>
      <c r="BM42" s="536"/>
      <c r="BN42" s="534"/>
      <c r="BO42" s="535"/>
      <c r="BP42" s="536"/>
      <c r="BQ42" s="534"/>
      <c r="BR42" s="535"/>
      <c r="BS42" s="536"/>
      <c r="BT42" s="534"/>
      <c r="BU42" s="535"/>
      <c r="BV42" s="536"/>
      <c r="BW42" s="531"/>
      <c r="BX42" s="532"/>
      <c r="BY42" s="533"/>
      <c r="BZ42" s="531"/>
      <c r="CA42" s="532"/>
      <c r="CB42" s="533"/>
      <c r="CC42" s="531"/>
      <c r="CD42" s="532"/>
      <c r="CE42" s="533"/>
      <c r="CF42" s="531"/>
      <c r="CG42" s="532"/>
      <c r="CH42" s="533"/>
      <c r="CI42" s="531"/>
      <c r="CJ42" s="532"/>
      <c r="CK42" s="533"/>
      <c r="CL42" s="534"/>
      <c r="CM42" s="535"/>
      <c r="CN42" s="536"/>
      <c r="CO42" s="534"/>
      <c r="CP42" s="535"/>
      <c r="CQ42" s="537"/>
      <c r="CR42" s="489">
        <f t="shared" ref="CR42:CT42" si="37">C42+F42+I42+L42+O42+R42+U42+X42+AA42+AD42+AG42+AJ42+AM42+AP42+AS42+AV42+AY42+BB42+BE42+BH42+BK42+BN42+BQ42+BT42+BW42+BZ42+CC42+CF42+CI42+CL42+CO42</f>
        <v>0</v>
      </c>
      <c r="CS42" s="489">
        <f t="shared" si="37"/>
        <v>0</v>
      </c>
      <c r="CT42" s="489">
        <f t="shared" si="37"/>
        <v>0</v>
      </c>
      <c r="CU42" s="5"/>
    </row>
    <row r="43" ht="11.25" customHeight="1">
      <c r="A43" s="490">
        <v>38.0</v>
      </c>
      <c r="B43" s="491" t="s">
        <v>162</v>
      </c>
      <c r="C43" s="531"/>
      <c r="D43" s="532"/>
      <c r="E43" s="533"/>
      <c r="F43" s="534"/>
      <c r="G43" s="535"/>
      <c r="H43" s="536"/>
      <c r="I43" s="534"/>
      <c r="J43" s="535"/>
      <c r="K43" s="536"/>
      <c r="L43" s="531"/>
      <c r="M43" s="532"/>
      <c r="N43" s="533"/>
      <c r="O43" s="531"/>
      <c r="P43" s="532"/>
      <c r="Q43" s="533"/>
      <c r="R43" s="534"/>
      <c r="S43" s="535"/>
      <c r="T43" s="536"/>
      <c r="U43" s="534"/>
      <c r="V43" s="535"/>
      <c r="W43" s="536"/>
      <c r="X43" s="534"/>
      <c r="Y43" s="535"/>
      <c r="Z43" s="536"/>
      <c r="AA43" s="534"/>
      <c r="AB43" s="535"/>
      <c r="AC43" s="536"/>
      <c r="AD43" s="534"/>
      <c r="AE43" s="535"/>
      <c r="AF43" s="536"/>
      <c r="AG43" s="531"/>
      <c r="AH43" s="532"/>
      <c r="AI43" s="533"/>
      <c r="AJ43" s="531"/>
      <c r="AK43" s="532"/>
      <c r="AL43" s="533"/>
      <c r="AM43" s="534"/>
      <c r="AN43" s="535"/>
      <c r="AO43" s="536"/>
      <c r="AP43" s="534"/>
      <c r="AQ43" s="535"/>
      <c r="AR43" s="536"/>
      <c r="AS43" s="534"/>
      <c r="AT43" s="535"/>
      <c r="AU43" s="536"/>
      <c r="AV43" s="534"/>
      <c r="AW43" s="535"/>
      <c r="AX43" s="536"/>
      <c r="AY43" s="534"/>
      <c r="AZ43" s="535"/>
      <c r="BA43" s="536"/>
      <c r="BB43" s="531"/>
      <c r="BC43" s="532"/>
      <c r="BD43" s="533"/>
      <c r="BE43" s="531"/>
      <c r="BF43" s="532"/>
      <c r="BG43" s="533"/>
      <c r="BH43" s="534"/>
      <c r="BI43" s="535"/>
      <c r="BJ43" s="536"/>
      <c r="BK43" s="534"/>
      <c r="BL43" s="535"/>
      <c r="BM43" s="536"/>
      <c r="BN43" s="534"/>
      <c r="BO43" s="535"/>
      <c r="BP43" s="536"/>
      <c r="BQ43" s="534"/>
      <c r="BR43" s="535"/>
      <c r="BS43" s="536"/>
      <c r="BT43" s="534"/>
      <c r="BU43" s="535"/>
      <c r="BV43" s="536"/>
      <c r="BW43" s="531"/>
      <c r="BX43" s="532"/>
      <c r="BY43" s="533"/>
      <c r="BZ43" s="531"/>
      <c r="CA43" s="532"/>
      <c r="CB43" s="533"/>
      <c r="CC43" s="531"/>
      <c r="CD43" s="532"/>
      <c r="CE43" s="533"/>
      <c r="CF43" s="531"/>
      <c r="CG43" s="532"/>
      <c r="CH43" s="533"/>
      <c r="CI43" s="531"/>
      <c r="CJ43" s="532"/>
      <c r="CK43" s="533"/>
      <c r="CL43" s="534"/>
      <c r="CM43" s="535"/>
      <c r="CN43" s="536"/>
      <c r="CO43" s="534"/>
      <c r="CP43" s="535"/>
      <c r="CQ43" s="537"/>
      <c r="CR43" s="489">
        <f t="shared" ref="CR43:CT43" si="38">C43+F43+I43+L43+O43+R43+U43+X43+AA43+AD43+AG43+AJ43+AM43+AP43+AS43+AV43+AY43+BB43+BE43+BH43+BK43+BN43+BQ43+BT43+BW43+BZ43+CC43+CF43+CI43+CL43+CO43</f>
        <v>0</v>
      </c>
      <c r="CS43" s="489">
        <f t="shared" si="38"/>
        <v>0</v>
      </c>
      <c r="CT43" s="489">
        <f t="shared" si="38"/>
        <v>0</v>
      </c>
      <c r="CU43" s="5"/>
    </row>
    <row r="44" ht="11.25" customHeight="1">
      <c r="A44" s="498">
        <v>39.0</v>
      </c>
      <c r="B44" s="491" t="s">
        <v>166</v>
      </c>
      <c r="C44" s="531"/>
      <c r="D44" s="532"/>
      <c r="E44" s="533"/>
      <c r="F44" s="534"/>
      <c r="G44" s="535"/>
      <c r="H44" s="536"/>
      <c r="I44" s="534"/>
      <c r="J44" s="535"/>
      <c r="K44" s="536"/>
      <c r="L44" s="531"/>
      <c r="M44" s="532"/>
      <c r="N44" s="533"/>
      <c r="O44" s="531"/>
      <c r="P44" s="532"/>
      <c r="Q44" s="533"/>
      <c r="R44" s="534"/>
      <c r="S44" s="535"/>
      <c r="T44" s="536"/>
      <c r="U44" s="534"/>
      <c r="V44" s="535">
        <v>1.0</v>
      </c>
      <c r="W44" s="536"/>
      <c r="X44" s="534"/>
      <c r="Y44" s="535"/>
      <c r="Z44" s="536"/>
      <c r="AA44" s="534"/>
      <c r="AB44" s="535"/>
      <c r="AC44" s="536"/>
      <c r="AD44" s="534"/>
      <c r="AE44" s="535"/>
      <c r="AF44" s="536"/>
      <c r="AG44" s="531"/>
      <c r="AH44" s="532"/>
      <c r="AI44" s="533"/>
      <c r="AJ44" s="531"/>
      <c r="AK44" s="532"/>
      <c r="AL44" s="533"/>
      <c r="AM44" s="534"/>
      <c r="AN44" s="535"/>
      <c r="AO44" s="536"/>
      <c r="AP44" s="534">
        <v>1.0</v>
      </c>
      <c r="AQ44" s="535"/>
      <c r="AR44" s="536"/>
      <c r="AS44" s="534"/>
      <c r="AT44" s="535"/>
      <c r="AU44" s="536"/>
      <c r="AV44" s="534"/>
      <c r="AW44" s="535"/>
      <c r="AX44" s="536"/>
      <c r="AY44" s="534"/>
      <c r="AZ44" s="535"/>
      <c r="BA44" s="536"/>
      <c r="BB44" s="531"/>
      <c r="BC44" s="532"/>
      <c r="BD44" s="533"/>
      <c r="BE44" s="531"/>
      <c r="BF44" s="532"/>
      <c r="BG44" s="533"/>
      <c r="BH44" s="534"/>
      <c r="BI44" s="535"/>
      <c r="BJ44" s="536"/>
      <c r="BK44" s="534"/>
      <c r="BL44" s="535"/>
      <c r="BM44" s="536"/>
      <c r="BN44" s="534"/>
      <c r="BO44" s="535"/>
      <c r="BP44" s="536"/>
      <c r="BQ44" s="534"/>
      <c r="BR44" s="535"/>
      <c r="BS44" s="536"/>
      <c r="BT44" s="534"/>
      <c r="BU44" s="535"/>
      <c r="BV44" s="536"/>
      <c r="BW44" s="531"/>
      <c r="BX44" s="532"/>
      <c r="BY44" s="533"/>
      <c r="BZ44" s="531"/>
      <c r="CA44" s="532"/>
      <c r="CB44" s="533"/>
      <c r="CC44" s="531"/>
      <c r="CD44" s="532"/>
      <c r="CE44" s="533"/>
      <c r="CF44" s="531"/>
      <c r="CG44" s="532"/>
      <c r="CH44" s="533"/>
      <c r="CI44" s="531"/>
      <c r="CJ44" s="532"/>
      <c r="CK44" s="533"/>
      <c r="CL44" s="534"/>
      <c r="CM44" s="535"/>
      <c r="CN44" s="536"/>
      <c r="CO44" s="534"/>
      <c r="CP44" s="535"/>
      <c r="CQ44" s="537"/>
      <c r="CR44" s="489">
        <f t="shared" ref="CR44:CT44" si="39">C44+F44+I44+L44+O44+R44+U44+X44+AA44+AD44+AG44+AJ44+AM44+AP44+AS44+AV44+AY44+BB44+BE44+BH44+BK44+BN44+BQ44+BT44+BW44+BZ44+CC44+CF44+CI44+CL44+CO44</f>
        <v>1</v>
      </c>
      <c r="CS44" s="489">
        <f t="shared" si="39"/>
        <v>1</v>
      </c>
      <c r="CT44" s="489">
        <f t="shared" si="39"/>
        <v>0</v>
      </c>
      <c r="CU44" s="5"/>
    </row>
    <row r="45" ht="11.25" customHeight="1">
      <c r="A45" s="490">
        <v>40.0</v>
      </c>
      <c r="B45" s="538" t="s">
        <v>169</v>
      </c>
      <c r="C45" s="531"/>
      <c r="D45" s="532"/>
      <c r="E45" s="533"/>
      <c r="F45" s="534">
        <v>1.0</v>
      </c>
      <c r="G45" s="535"/>
      <c r="H45" s="536"/>
      <c r="I45" s="534">
        <v>1.0</v>
      </c>
      <c r="J45" s="535"/>
      <c r="K45" s="536"/>
      <c r="L45" s="531"/>
      <c r="M45" s="532"/>
      <c r="N45" s="533"/>
      <c r="O45" s="531"/>
      <c r="P45" s="532"/>
      <c r="Q45" s="533"/>
      <c r="R45" s="534">
        <v>1.0</v>
      </c>
      <c r="S45" s="535"/>
      <c r="T45" s="536"/>
      <c r="U45" s="534">
        <v>1.0</v>
      </c>
      <c r="V45" s="535"/>
      <c r="W45" s="536"/>
      <c r="X45" s="534">
        <v>1.0</v>
      </c>
      <c r="Y45" s="535"/>
      <c r="Z45" s="536"/>
      <c r="AA45" s="534">
        <v>1.0</v>
      </c>
      <c r="AB45" s="535"/>
      <c r="AC45" s="536"/>
      <c r="AD45" s="534">
        <v>1.0</v>
      </c>
      <c r="AE45" s="535"/>
      <c r="AF45" s="536"/>
      <c r="AG45" s="531"/>
      <c r="AH45" s="532"/>
      <c r="AI45" s="533"/>
      <c r="AJ45" s="531"/>
      <c r="AK45" s="532"/>
      <c r="AL45" s="533"/>
      <c r="AM45" s="534">
        <v>1.0</v>
      </c>
      <c r="AN45" s="535"/>
      <c r="AO45" s="536"/>
      <c r="AP45" s="534"/>
      <c r="AQ45" s="535"/>
      <c r="AR45" s="536"/>
      <c r="AS45" s="534">
        <v>1.0</v>
      </c>
      <c r="AT45" s="535"/>
      <c r="AU45" s="536"/>
      <c r="AV45" s="534">
        <v>1.0</v>
      </c>
      <c r="AW45" s="535"/>
      <c r="AX45" s="536"/>
      <c r="AY45" s="534">
        <v>1.0</v>
      </c>
      <c r="AZ45" s="535"/>
      <c r="BA45" s="536"/>
      <c r="BB45" s="531"/>
      <c r="BC45" s="532"/>
      <c r="BD45" s="533"/>
      <c r="BE45" s="531"/>
      <c r="BF45" s="532"/>
      <c r="BG45" s="533"/>
      <c r="BH45" s="534">
        <v>1.0</v>
      </c>
      <c r="BI45" s="535"/>
      <c r="BJ45" s="536"/>
      <c r="BK45" s="534">
        <v>1.0</v>
      </c>
      <c r="BL45" s="535"/>
      <c r="BM45" s="536"/>
      <c r="BN45" s="534"/>
      <c r="BO45" s="535"/>
      <c r="BP45" s="536"/>
      <c r="BQ45" s="534"/>
      <c r="BR45" s="535"/>
      <c r="BS45" s="536"/>
      <c r="BT45" s="534"/>
      <c r="BU45" s="535"/>
      <c r="BV45" s="536"/>
      <c r="BW45" s="531"/>
      <c r="BX45" s="532"/>
      <c r="BY45" s="533"/>
      <c r="BZ45" s="531"/>
      <c r="CA45" s="532"/>
      <c r="CB45" s="533"/>
      <c r="CC45" s="531"/>
      <c r="CD45" s="532"/>
      <c r="CE45" s="533"/>
      <c r="CF45" s="531"/>
      <c r="CG45" s="532"/>
      <c r="CH45" s="533"/>
      <c r="CI45" s="531"/>
      <c r="CJ45" s="532"/>
      <c r="CK45" s="533"/>
      <c r="CL45" s="534"/>
      <c r="CM45" s="535"/>
      <c r="CN45" s="536"/>
      <c r="CO45" s="534"/>
      <c r="CP45" s="535"/>
      <c r="CQ45" s="537"/>
      <c r="CR45" s="489">
        <f t="shared" ref="CR45:CT45" si="40">C45+F45+I45+L45+O45+R45+U45+X45+AA45+AD45+AG45+AJ45+AM45+AP45+AS45+AV45+AY45+BB45+BE45+BH45+BK45+BN45+BQ45+BT45+BW45+BZ45+CC45+CF45+CI45+CL45+CO45</f>
        <v>13</v>
      </c>
      <c r="CS45" s="489">
        <f t="shared" si="40"/>
        <v>0</v>
      </c>
      <c r="CT45" s="489">
        <f t="shared" si="40"/>
        <v>0</v>
      </c>
      <c r="CU45" s="5"/>
    </row>
    <row r="46" ht="11.25" customHeight="1">
      <c r="A46" s="498">
        <v>41.0</v>
      </c>
      <c r="B46" s="538" t="s">
        <v>172</v>
      </c>
      <c r="C46" s="531"/>
      <c r="D46" s="532"/>
      <c r="E46" s="533"/>
      <c r="F46" s="534"/>
      <c r="G46" s="535"/>
      <c r="H46" s="536"/>
      <c r="I46" s="534"/>
      <c r="J46" s="535"/>
      <c r="K46" s="536"/>
      <c r="L46" s="531"/>
      <c r="M46" s="532"/>
      <c r="N46" s="533"/>
      <c r="O46" s="531"/>
      <c r="P46" s="532"/>
      <c r="Q46" s="533"/>
      <c r="R46" s="534"/>
      <c r="S46" s="535"/>
      <c r="T46" s="536"/>
      <c r="U46" s="534"/>
      <c r="V46" s="535"/>
      <c r="W46" s="536"/>
      <c r="X46" s="534"/>
      <c r="Y46" s="535"/>
      <c r="Z46" s="536"/>
      <c r="AA46" s="534"/>
      <c r="AB46" s="535"/>
      <c r="AC46" s="536"/>
      <c r="AD46" s="534"/>
      <c r="AE46" s="535"/>
      <c r="AF46" s="536"/>
      <c r="AG46" s="531"/>
      <c r="AH46" s="532"/>
      <c r="AI46" s="533"/>
      <c r="AJ46" s="531"/>
      <c r="AK46" s="532"/>
      <c r="AL46" s="533"/>
      <c r="AM46" s="534"/>
      <c r="AN46" s="535"/>
      <c r="AO46" s="536"/>
      <c r="AP46" s="534"/>
      <c r="AQ46" s="535"/>
      <c r="AR46" s="536"/>
      <c r="AS46" s="534"/>
      <c r="AT46" s="535"/>
      <c r="AU46" s="536">
        <v>1.0</v>
      </c>
      <c r="AV46" s="534"/>
      <c r="AW46" s="535"/>
      <c r="AX46" s="536"/>
      <c r="AY46" s="534"/>
      <c r="AZ46" s="535"/>
      <c r="BA46" s="536"/>
      <c r="BB46" s="531"/>
      <c r="BC46" s="532"/>
      <c r="BD46" s="533"/>
      <c r="BE46" s="531"/>
      <c r="BF46" s="532"/>
      <c r="BG46" s="533"/>
      <c r="BH46" s="534"/>
      <c r="BI46" s="535"/>
      <c r="BJ46" s="536"/>
      <c r="BK46" s="534"/>
      <c r="BL46" s="535"/>
      <c r="BM46" s="536"/>
      <c r="BN46" s="534"/>
      <c r="BO46" s="535"/>
      <c r="BP46" s="536"/>
      <c r="BQ46" s="534"/>
      <c r="BR46" s="535"/>
      <c r="BS46" s="536"/>
      <c r="BT46" s="534"/>
      <c r="BU46" s="535"/>
      <c r="BV46" s="536"/>
      <c r="BW46" s="531"/>
      <c r="BX46" s="532"/>
      <c r="BY46" s="533"/>
      <c r="BZ46" s="531"/>
      <c r="CA46" s="532"/>
      <c r="CB46" s="533"/>
      <c r="CC46" s="531"/>
      <c r="CD46" s="532"/>
      <c r="CE46" s="533"/>
      <c r="CF46" s="531"/>
      <c r="CG46" s="532"/>
      <c r="CH46" s="533"/>
      <c r="CI46" s="531"/>
      <c r="CJ46" s="532"/>
      <c r="CK46" s="533"/>
      <c r="CL46" s="534"/>
      <c r="CM46" s="535"/>
      <c r="CN46" s="536"/>
      <c r="CO46" s="534"/>
      <c r="CP46" s="535"/>
      <c r="CQ46" s="537"/>
      <c r="CR46" s="489">
        <f t="shared" ref="CR46:CT46" si="41">C46+F46+I46+L46+O46+R46+U46+X46+AA46+AD46+AG46+AJ46+AM46+AP46+AS46+AV46+AY46+BB46+BE46+BH46+BK46+BN46+BQ46+BT46+BW46+BZ46+CC46+CF46+CI46+CL46+CO46</f>
        <v>0</v>
      </c>
      <c r="CS46" s="489">
        <f t="shared" si="41"/>
        <v>0</v>
      </c>
      <c r="CT46" s="489">
        <f t="shared" si="41"/>
        <v>1</v>
      </c>
      <c r="CU46" s="5"/>
    </row>
    <row r="47" ht="11.25" customHeight="1">
      <c r="A47" s="490">
        <v>42.0</v>
      </c>
      <c r="B47" s="538" t="s">
        <v>940</v>
      </c>
      <c r="C47" s="531"/>
      <c r="D47" s="532"/>
      <c r="E47" s="533"/>
      <c r="F47" s="534"/>
      <c r="G47" s="535"/>
      <c r="H47" s="536"/>
      <c r="I47" s="534"/>
      <c r="J47" s="535"/>
      <c r="K47" s="536"/>
      <c r="L47" s="531"/>
      <c r="M47" s="532"/>
      <c r="N47" s="533"/>
      <c r="O47" s="531"/>
      <c r="P47" s="532"/>
      <c r="Q47" s="533"/>
      <c r="R47" s="534"/>
      <c r="S47" s="535">
        <v>1.0</v>
      </c>
      <c r="T47" s="536"/>
      <c r="U47" s="534"/>
      <c r="V47" s="535"/>
      <c r="W47" s="536"/>
      <c r="X47" s="534"/>
      <c r="Y47" s="535"/>
      <c r="Z47" s="536"/>
      <c r="AA47" s="534"/>
      <c r="AB47" s="535"/>
      <c r="AC47" s="536"/>
      <c r="AD47" s="534"/>
      <c r="AE47" s="535"/>
      <c r="AF47" s="536"/>
      <c r="AG47" s="531"/>
      <c r="AH47" s="532"/>
      <c r="AI47" s="533"/>
      <c r="AJ47" s="531"/>
      <c r="AK47" s="532"/>
      <c r="AL47" s="533"/>
      <c r="AM47" s="534"/>
      <c r="AN47" s="535"/>
      <c r="AO47" s="536"/>
      <c r="AP47" s="534"/>
      <c r="AQ47" s="535"/>
      <c r="AR47" s="536"/>
      <c r="AS47" s="534"/>
      <c r="AT47" s="535"/>
      <c r="AU47" s="536"/>
      <c r="AV47" s="534"/>
      <c r="AW47" s="535"/>
      <c r="AX47" s="536"/>
      <c r="AY47" s="534"/>
      <c r="AZ47" s="535"/>
      <c r="BA47" s="536"/>
      <c r="BB47" s="531"/>
      <c r="BC47" s="532"/>
      <c r="BD47" s="533"/>
      <c r="BE47" s="531"/>
      <c r="BF47" s="532"/>
      <c r="BG47" s="533"/>
      <c r="BH47" s="534"/>
      <c r="BI47" s="535"/>
      <c r="BJ47" s="536"/>
      <c r="BK47" s="534"/>
      <c r="BL47" s="535"/>
      <c r="BM47" s="536"/>
      <c r="BN47" s="534"/>
      <c r="BO47" s="535"/>
      <c r="BP47" s="536"/>
      <c r="BQ47" s="534"/>
      <c r="BR47" s="535"/>
      <c r="BS47" s="536"/>
      <c r="BT47" s="534"/>
      <c r="BU47" s="535"/>
      <c r="BV47" s="536"/>
      <c r="BW47" s="531"/>
      <c r="BX47" s="532"/>
      <c r="BY47" s="533"/>
      <c r="BZ47" s="531"/>
      <c r="CA47" s="532"/>
      <c r="CB47" s="533"/>
      <c r="CC47" s="531"/>
      <c r="CD47" s="532"/>
      <c r="CE47" s="533"/>
      <c r="CF47" s="531"/>
      <c r="CG47" s="532"/>
      <c r="CH47" s="533"/>
      <c r="CI47" s="531"/>
      <c r="CJ47" s="532"/>
      <c r="CK47" s="533"/>
      <c r="CL47" s="534"/>
      <c r="CM47" s="535"/>
      <c r="CN47" s="536"/>
      <c r="CO47" s="534"/>
      <c r="CP47" s="535"/>
      <c r="CQ47" s="537"/>
      <c r="CR47" s="489">
        <f t="shared" ref="CR47:CT47" si="42">C47+F47+I47+L47+O47+R47+U47+X47+AA47+AD47+AG47+AJ47+AM47+AP47+AS47+AV47+AY47+BB47+BE47+BH47+BK47+BN47+BQ47+BT47+BW47+BZ47+CC47+CF47+CI47+CL47+CO47</f>
        <v>0</v>
      </c>
      <c r="CS47" s="489">
        <f t="shared" si="42"/>
        <v>1</v>
      </c>
      <c r="CT47" s="489">
        <f t="shared" si="42"/>
        <v>0</v>
      </c>
      <c r="CU47" s="5"/>
    </row>
    <row r="48" ht="11.25" customHeight="1">
      <c r="A48" s="539">
        <v>43.0</v>
      </c>
      <c r="B48" s="540" t="s">
        <v>181</v>
      </c>
      <c r="C48" s="541"/>
      <c r="D48" s="542"/>
      <c r="E48" s="543"/>
      <c r="F48" s="544"/>
      <c r="G48" s="545"/>
      <c r="H48" s="546"/>
      <c r="I48" s="544"/>
      <c r="J48" s="545"/>
      <c r="K48" s="546"/>
      <c r="L48" s="541"/>
      <c r="M48" s="542"/>
      <c r="N48" s="543"/>
      <c r="O48" s="541"/>
      <c r="P48" s="542"/>
      <c r="Q48" s="543"/>
      <c r="R48" s="544"/>
      <c r="S48" s="545"/>
      <c r="T48" s="546"/>
      <c r="U48" s="544"/>
      <c r="V48" s="545"/>
      <c r="W48" s="546"/>
      <c r="X48" s="544"/>
      <c r="Y48" s="545"/>
      <c r="Z48" s="546"/>
      <c r="AA48" s="544"/>
      <c r="AB48" s="545"/>
      <c r="AC48" s="546"/>
      <c r="AD48" s="544"/>
      <c r="AE48" s="545"/>
      <c r="AF48" s="546"/>
      <c r="AG48" s="541"/>
      <c r="AH48" s="542"/>
      <c r="AI48" s="543"/>
      <c r="AJ48" s="541"/>
      <c r="AK48" s="542"/>
      <c r="AL48" s="543"/>
      <c r="AM48" s="544"/>
      <c r="AN48" s="545"/>
      <c r="AO48" s="546"/>
      <c r="AP48" s="544"/>
      <c r="AQ48" s="545"/>
      <c r="AR48" s="546"/>
      <c r="AS48" s="544"/>
      <c r="AT48" s="545"/>
      <c r="AU48" s="546"/>
      <c r="AV48" s="544"/>
      <c r="AW48" s="545"/>
      <c r="AX48" s="546"/>
      <c r="AY48" s="544"/>
      <c r="AZ48" s="545"/>
      <c r="BA48" s="546"/>
      <c r="BB48" s="541"/>
      <c r="BC48" s="542"/>
      <c r="BD48" s="543"/>
      <c r="BE48" s="541"/>
      <c r="BF48" s="542"/>
      <c r="BG48" s="543"/>
      <c r="BH48" s="544"/>
      <c r="BI48" s="545"/>
      <c r="BJ48" s="546"/>
      <c r="BK48" s="544"/>
      <c r="BL48" s="545"/>
      <c r="BM48" s="546"/>
      <c r="BN48" s="544"/>
      <c r="BO48" s="545"/>
      <c r="BP48" s="546"/>
      <c r="BQ48" s="544"/>
      <c r="BR48" s="545"/>
      <c r="BS48" s="546"/>
      <c r="BT48" s="544"/>
      <c r="BU48" s="545"/>
      <c r="BV48" s="546"/>
      <c r="BW48" s="541"/>
      <c r="BX48" s="542"/>
      <c r="BY48" s="543"/>
      <c r="BZ48" s="541"/>
      <c r="CA48" s="542"/>
      <c r="CB48" s="543"/>
      <c r="CC48" s="541"/>
      <c r="CD48" s="542"/>
      <c r="CE48" s="543"/>
      <c r="CF48" s="541"/>
      <c r="CG48" s="542"/>
      <c r="CH48" s="543"/>
      <c r="CI48" s="541"/>
      <c r="CJ48" s="542"/>
      <c r="CK48" s="543"/>
      <c r="CL48" s="544"/>
      <c r="CM48" s="545"/>
      <c r="CN48" s="546"/>
      <c r="CO48" s="544"/>
      <c r="CP48" s="545"/>
      <c r="CQ48" s="547"/>
      <c r="CR48" s="489">
        <f t="shared" ref="CR48:CT48" si="43">C48+F48+I48+L48+O48+R48+U48+X48+AA48+AD48+AG48+AJ48+AM48+AP48+AS48+AV48+AY48+BB48+BE48+BH48+BK48+BN48+BQ48+BT48+BW48+BZ48+CC48+CF48+CI48+CL48+CO48</f>
        <v>0</v>
      </c>
      <c r="CS48" s="489">
        <f t="shared" si="43"/>
        <v>0</v>
      </c>
      <c r="CT48" s="489">
        <f t="shared" si="43"/>
        <v>0</v>
      </c>
      <c r="CU48" s="5"/>
    </row>
    <row r="49" ht="11.25" customHeight="1"/>
    <row r="50" ht="15.75" customHeight="1"/>
    <row r="51" ht="15.75" customHeight="1">
      <c r="AB51" s="5"/>
    </row>
    <row r="52" ht="15.75" customHeight="1">
      <c r="AB52" s="5"/>
    </row>
    <row r="53" ht="15.75" customHeight="1">
      <c r="AB53" s="5"/>
    </row>
    <row r="54" ht="15.75" customHeight="1">
      <c r="AB54" s="5"/>
    </row>
    <row r="55" ht="15.75" customHeight="1">
      <c r="AB55" s="5"/>
    </row>
    <row r="56" ht="15.75" customHeight="1">
      <c r="AB56" s="5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B4:BD4"/>
    <mergeCell ref="BE4:BG4"/>
    <mergeCell ref="BH4:BJ4"/>
    <mergeCell ref="BK4:BM4"/>
    <mergeCell ref="BN4:BP4"/>
    <mergeCell ref="BQ4:BS4"/>
    <mergeCell ref="BT4:BV4"/>
    <mergeCell ref="BW4:BY4"/>
    <mergeCell ref="BZ4:CB4"/>
    <mergeCell ref="CC4:CE4"/>
    <mergeCell ref="CF4:CH4"/>
    <mergeCell ref="CI4:CK4"/>
    <mergeCell ref="CL4:CN4"/>
    <mergeCell ref="CO4:CQ4"/>
    <mergeCell ref="A1:CT1"/>
    <mergeCell ref="A2:CT2"/>
    <mergeCell ref="A4:A5"/>
    <mergeCell ref="B4:B5"/>
    <mergeCell ref="C4:E4"/>
    <mergeCell ref="F4:H4"/>
    <mergeCell ref="I4:K4"/>
    <mergeCell ref="CR4:CT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</mergeCells>
  <printOptions/>
  <pageMargins bottom="0.75" footer="0.0" header="0.0" left="0.7" right="0.7" top="0.75"/>
  <pageSetup paperSize="9" scale="28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5.29"/>
    <col customWidth="1" min="3" max="3" width="6.29"/>
    <col customWidth="1" min="4" max="4" width="7.0"/>
    <col customWidth="1" min="5" max="5" width="4.0"/>
    <col customWidth="1" min="6" max="6" width="5.0"/>
    <col customWidth="1" min="7" max="7" width="3.71"/>
    <col customWidth="1" min="8" max="8" width="6.0"/>
    <col customWidth="1" min="9" max="9" width="6.57"/>
    <col customWidth="1" min="10" max="10" width="4.43"/>
    <col customWidth="1" min="11" max="11" width="5.0"/>
    <col customWidth="1" min="12" max="12" width="4.0"/>
    <col customWidth="1" min="13" max="13" width="15.14"/>
    <col customWidth="1" min="14" max="14" width="9.14"/>
    <col customWidth="1" min="15" max="15" width="20.0"/>
    <col customWidth="1" min="16" max="26" width="8.71"/>
  </cols>
  <sheetData>
    <row r="1">
      <c r="A1" s="500" t="s">
        <v>1050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00" t="s">
        <v>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00" t="s">
        <v>1046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501"/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502" t="s">
        <v>1</v>
      </c>
      <c r="B5" s="503" t="s">
        <v>3</v>
      </c>
      <c r="C5" s="504" t="s">
        <v>1051</v>
      </c>
      <c r="D5" s="34"/>
      <c r="E5" s="505" t="s">
        <v>1052</v>
      </c>
      <c r="F5" s="506"/>
      <c r="G5" s="506"/>
      <c r="H5" s="507" t="s">
        <v>1053</v>
      </c>
      <c r="I5" s="34"/>
      <c r="J5" s="507" t="s">
        <v>1054</v>
      </c>
      <c r="K5" s="506"/>
      <c r="L5" s="508"/>
      <c r="M5" s="509" t="s">
        <v>1055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75" customHeight="1">
      <c r="A6" s="372"/>
      <c r="B6" s="510"/>
      <c r="C6" s="42"/>
      <c r="D6" s="43"/>
      <c r="E6" s="38"/>
      <c r="F6" s="42"/>
      <c r="G6" s="42"/>
      <c r="H6" s="38"/>
      <c r="I6" s="43"/>
      <c r="J6" s="38"/>
      <c r="K6" s="42"/>
      <c r="L6" s="511"/>
      <c r="M6" s="372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0.75" customHeight="1">
      <c r="A7" s="36"/>
      <c r="B7" s="43"/>
      <c r="C7" s="512" t="s">
        <v>1056</v>
      </c>
      <c r="D7" s="513" t="s">
        <v>1057</v>
      </c>
      <c r="E7" s="513" t="s">
        <v>1058</v>
      </c>
      <c r="F7" s="513" t="s">
        <v>1059</v>
      </c>
      <c r="G7" s="513" t="s">
        <v>1060</v>
      </c>
      <c r="H7" s="514" t="s">
        <v>1056</v>
      </c>
      <c r="I7" s="515" t="s">
        <v>1057</v>
      </c>
      <c r="J7" s="516" t="s">
        <v>1058</v>
      </c>
      <c r="K7" s="516" t="s">
        <v>1059</v>
      </c>
      <c r="L7" s="516" t="s">
        <v>1060</v>
      </c>
      <c r="M7" s="3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17">
        <v>1.0</v>
      </c>
      <c r="B8" s="517">
        <v>2.0</v>
      </c>
      <c r="C8" s="518">
        <v>3.0</v>
      </c>
      <c r="D8" s="518">
        <v>4.0</v>
      </c>
      <c r="E8" s="518">
        <v>5.0</v>
      </c>
      <c r="F8" s="518">
        <v>6.0</v>
      </c>
      <c r="G8" s="518">
        <v>7.0</v>
      </c>
      <c r="H8" s="519">
        <v>8.0</v>
      </c>
      <c r="I8" s="519">
        <v>9.0</v>
      </c>
      <c r="J8" s="520">
        <v>10.0</v>
      </c>
      <c r="K8" s="520">
        <v>11.0</v>
      </c>
      <c r="L8" s="520">
        <v>12.0</v>
      </c>
      <c r="M8" s="517">
        <v>14.0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41">
        <v>1.0</v>
      </c>
      <c r="B9" s="10" t="s">
        <v>10</v>
      </c>
      <c r="C9" s="521"/>
      <c r="D9" s="522">
        <f t="shared" ref="D9:D37" si="1">C9/450</f>
        <v>0</v>
      </c>
      <c r="E9" s="523">
        <f>alasan!CR6</f>
        <v>0</v>
      </c>
      <c r="F9" s="523">
        <f>alasan!CS6</f>
        <v>0</v>
      </c>
      <c r="G9" s="523">
        <f>alasan!CT6</f>
        <v>1</v>
      </c>
      <c r="H9" s="524" t="str">
        <f>C9+[1]OKT!H9</f>
        <v>#ERROR!</v>
      </c>
      <c r="I9" s="525" t="str">
        <f t="shared" ref="I9:I37" si="2">H9/450</f>
        <v>#ERROR!</v>
      </c>
      <c r="J9" s="526"/>
      <c r="K9" s="526"/>
      <c r="L9" s="526"/>
      <c r="M9" s="527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46">
        <v>2.0</v>
      </c>
      <c r="B10" s="17" t="s">
        <v>16</v>
      </c>
      <c r="C10" s="521"/>
      <c r="D10" s="522">
        <f t="shared" si="1"/>
        <v>0</v>
      </c>
      <c r="E10" s="523">
        <f>alasan!CR7</f>
        <v>0</v>
      </c>
      <c r="F10" s="523">
        <f>alasan!CS7</f>
        <v>0</v>
      </c>
      <c r="G10" s="523">
        <f>alasan!CT7</f>
        <v>0</v>
      </c>
      <c r="H10" s="524" t="str">
        <f>C10+[1]OKT!H10</f>
        <v>#ERROR!</v>
      </c>
      <c r="I10" s="525" t="str">
        <f t="shared" si="2"/>
        <v>#ERROR!</v>
      </c>
      <c r="J10" s="526"/>
      <c r="K10" s="526"/>
      <c r="L10" s="526"/>
      <c r="M10" s="52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46">
        <v>3.0</v>
      </c>
      <c r="B11" s="17" t="s">
        <v>88</v>
      </c>
      <c r="C11" s="521"/>
      <c r="D11" s="522">
        <f t="shared" si="1"/>
        <v>0</v>
      </c>
      <c r="E11" s="523">
        <f>alasan!CR8</f>
        <v>2</v>
      </c>
      <c r="F11" s="523">
        <f>alasan!CS8</f>
        <v>0</v>
      </c>
      <c r="G11" s="523">
        <f>alasan!CT8</f>
        <v>1</v>
      </c>
      <c r="H11" s="524" t="str">
        <f>C11+[1]OKT!H11</f>
        <v>#ERROR!</v>
      </c>
      <c r="I11" s="525" t="str">
        <f t="shared" si="2"/>
        <v>#ERROR!</v>
      </c>
      <c r="J11" s="526"/>
      <c r="K11" s="526"/>
      <c r="L11" s="526"/>
      <c r="M11" s="527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46">
        <v>4.0</v>
      </c>
      <c r="B12" s="17" t="s">
        <v>22</v>
      </c>
      <c r="C12" s="521"/>
      <c r="D12" s="522">
        <f t="shared" si="1"/>
        <v>0</v>
      </c>
      <c r="E12" s="523">
        <f>alasan!CR9</f>
        <v>0</v>
      </c>
      <c r="F12" s="523">
        <f>alasan!CS9</f>
        <v>7</v>
      </c>
      <c r="G12" s="523">
        <f>alasan!CT9</f>
        <v>0</v>
      </c>
      <c r="H12" s="524" t="str">
        <f>C12+[1]OKT!H12</f>
        <v>#ERROR!</v>
      </c>
      <c r="I12" s="525" t="str">
        <f t="shared" si="2"/>
        <v>#ERROR!</v>
      </c>
      <c r="J12" s="526"/>
      <c r="K12" s="526"/>
      <c r="L12" s="526"/>
      <c r="M12" s="527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46">
        <v>5.0</v>
      </c>
      <c r="B13" s="17" t="s">
        <v>32</v>
      </c>
      <c r="C13" s="521"/>
      <c r="D13" s="522">
        <f t="shared" si="1"/>
        <v>0</v>
      </c>
      <c r="E13" s="523">
        <f>alasan!CR10</f>
        <v>0</v>
      </c>
      <c r="F13" s="523">
        <f>alasan!CS10</f>
        <v>0</v>
      </c>
      <c r="G13" s="523">
        <f>alasan!CT10</f>
        <v>0</v>
      </c>
      <c r="H13" s="524" t="str">
        <f>C13+[1]OKT!H13</f>
        <v>#ERROR!</v>
      </c>
      <c r="I13" s="525" t="str">
        <f t="shared" si="2"/>
        <v>#ERROR!</v>
      </c>
      <c r="J13" s="526"/>
      <c r="K13" s="526"/>
      <c r="L13" s="526"/>
      <c r="M13" s="527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46">
        <v>6.0</v>
      </c>
      <c r="B14" s="17" t="s">
        <v>35</v>
      </c>
      <c r="C14" s="521"/>
      <c r="D14" s="522">
        <f t="shared" si="1"/>
        <v>0</v>
      </c>
      <c r="E14" s="523">
        <f>alasan!CR11</f>
        <v>0</v>
      </c>
      <c r="F14" s="523">
        <f>alasan!CS11</f>
        <v>0</v>
      </c>
      <c r="G14" s="523">
        <f>alasan!CT11</f>
        <v>0</v>
      </c>
      <c r="H14" s="524" t="str">
        <f>C14+[1]OKT!H14</f>
        <v>#ERROR!</v>
      </c>
      <c r="I14" s="525" t="str">
        <f t="shared" si="2"/>
        <v>#ERROR!</v>
      </c>
      <c r="J14" s="526"/>
      <c r="K14" s="526"/>
      <c r="L14" s="526"/>
      <c r="M14" s="52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46">
        <v>7.0</v>
      </c>
      <c r="B15" s="17" t="s">
        <v>39</v>
      </c>
      <c r="C15" s="521"/>
      <c r="D15" s="522">
        <f t="shared" si="1"/>
        <v>0</v>
      </c>
      <c r="E15" s="523">
        <f>alasan!CR12</f>
        <v>0</v>
      </c>
      <c r="F15" s="523">
        <f>alasan!CS12</f>
        <v>0</v>
      </c>
      <c r="G15" s="523">
        <f>alasan!CT12</f>
        <v>0</v>
      </c>
      <c r="H15" s="524" t="str">
        <f>C15+[1]OKT!H15</f>
        <v>#ERROR!</v>
      </c>
      <c r="I15" s="525" t="str">
        <f t="shared" si="2"/>
        <v>#ERROR!</v>
      </c>
      <c r="J15" s="526"/>
      <c r="K15" s="526"/>
      <c r="L15" s="526"/>
      <c r="M15" s="527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46">
        <v>8.0</v>
      </c>
      <c r="B16" s="17" t="s">
        <v>49</v>
      </c>
      <c r="C16" s="521"/>
      <c r="D16" s="522">
        <f t="shared" si="1"/>
        <v>0</v>
      </c>
      <c r="E16" s="523">
        <f>alasan!CR13</f>
        <v>2</v>
      </c>
      <c r="F16" s="523">
        <f>alasan!CS13</f>
        <v>0</v>
      </c>
      <c r="G16" s="523">
        <f>alasan!CT13</f>
        <v>0</v>
      </c>
      <c r="H16" s="524" t="str">
        <f>C16+[1]OKT!H16</f>
        <v>#ERROR!</v>
      </c>
      <c r="I16" s="525" t="str">
        <f t="shared" si="2"/>
        <v>#ERROR!</v>
      </c>
      <c r="J16" s="526"/>
      <c r="K16" s="526"/>
      <c r="L16" s="526"/>
      <c r="M16" s="52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46">
        <v>9.0</v>
      </c>
      <c r="B17" s="17" t="s">
        <v>61</v>
      </c>
      <c r="C17" s="521"/>
      <c r="D17" s="522">
        <f t="shared" si="1"/>
        <v>0</v>
      </c>
      <c r="E17" s="523">
        <f>alasan!CR14</f>
        <v>0</v>
      </c>
      <c r="F17" s="523">
        <f>alasan!CS14</f>
        <v>0</v>
      </c>
      <c r="G17" s="523">
        <f>alasan!CT14</f>
        <v>0</v>
      </c>
      <c r="H17" s="524" t="str">
        <f>C17+[1]OKT!H17</f>
        <v>#ERROR!</v>
      </c>
      <c r="I17" s="525" t="str">
        <f t="shared" si="2"/>
        <v>#ERROR!</v>
      </c>
      <c r="J17" s="526"/>
      <c r="K17" s="526"/>
      <c r="L17" s="526"/>
      <c r="M17" s="527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46">
        <v>10.0</v>
      </c>
      <c r="B18" s="17" t="s">
        <v>66</v>
      </c>
      <c r="C18" s="521"/>
      <c r="D18" s="522">
        <f t="shared" si="1"/>
        <v>0</v>
      </c>
      <c r="E18" s="523">
        <f>alasan!CR15</f>
        <v>1</v>
      </c>
      <c r="F18" s="523">
        <f>alasan!CS15</f>
        <v>1</v>
      </c>
      <c r="G18" s="523">
        <f>alasan!CT15</f>
        <v>0</v>
      </c>
      <c r="H18" s="524" t="str">
        <f>C18+[1]OKT!H18</f>
        <v>#ERROR!</v>
      </c>
      <c r="I18" s="525" t="str">
        <f t="shared" si="2"/>
        <v>#ERROR!</v>
      </c>
      <c r="J18" s="526"/>
      <c r="K18" s="526"/>
      <c r="L18" s="526"/>
      <c r="M18" s="527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46">
        <v>11.0</v>
      </c>
      <c r="B19" s="17" t="s">
        <v>69</v>
      </c>
      <c r="C19" s="529"/>
      <c r="D19" s="522">
        <f t="shared" si="1"/>
        <v>0</v>
      </c>
      <c r="E19" s="523">
        <f>alasan!CR16</f>
        <v>0</v>
      </c>
      <c r="F19" s="523">
        <f>alasan!CS16</f>
        <v>2</v>
      </c>
      <c r="G19" s="523">
        <f>alasan!CT16</f>
        <v>0</v>
      </c>
      <c r="H19" s="524" t="str">
        <f>C19+[1]OKT!H19</f>
        <v>#ERROR!</v>
      </c>
      <c r="I19" s="525" t="str">
        <f t="shared" si="2"/>
        <v>#ERROR!</v>
      </c>
      <c r="J19" s="526"/>
      <c r="K19" s="526"/>
      <c r="L19" s="526"/>
      <c r="M19" s="527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46">
        <v>12.0</v>
      </c>
      <c r="B20" s="17" t="s">
        <v>72</v>
      </c>
      <c r="C20" s="521"/>
      <c r="D20" s="522">
        <f t="shared" si="1"/>
        <v>0</v>
      </c>
      <c r="E20" s="523">
        <f>alasan!CR17</f>
        <v>0</v>
      </c>
      <c r="F20" s="523">
        <f>alasan!CS17</f>
        <v>0</v>
      </c>
      <c r="G20" s="523">
        <f>alasan!CT17</f>
        <v>1</v>
      </c>
      <c r="H20" s="524" t="str">
        <f>C20+[1]OKT!H20</f>
        <v>#ERROR!</v>
      </c>
      <c r="I20" s="525" t="str">
        <f t="shared" si="2"/>
        <v>#ERROR!</v>
      </c>
      <c r="J20" s="526"/>
      <c r="K20" s="526"/>
      <c r="L20" s="526"/>
      <c r="M20" s="52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46">
        <v>13.0</v>
      </c>
      <c r="B21" s="17" t="s">
        <v>75</v>
      </c>
      <c r="C21" s="521"/>
      <c r="D21" s="522">
        <f t="shared" si="1"/>
        <v>0</v>
      </c>
      <c r="E21" s="523">
        <f>alasan!CR18</f>
        <v>0</v>
      </c>
      <c r="F21" s="523">
        <f>alasan!CS18</f>
        <v>0</v>
      </c>
      <c r="G21" s="523">
        <f>alasan!CT18</f>
        <v>0</v>
      </c>
      <c r="H21" s="524" t="str">
        <f>C21+[1]OKT!H21</f>
        <v>#ERROR!</v>
      </c>
      <c r="I21" s="525" t="str">
        <f t="shared" si="2"/>
        <v>#ERROR!</v>
      </c>
      <c r="J21" s="526"/>
      <c r="K21" s="526"/>
      <c r="L21" s="526"/>
      <c r="M21" s="527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46">
        <v>14.0</v>
      </c>
      <c r="B22" s="17" t="s">
        <v>77</v>
      </c>
      <c r="C22" s="521"/>
      <c r="D22" s="522">
        <f t="shared" si="1"/>
        <v>0</v>
      </c>
      <c r="E22" s="523">
        <f>alasan!CR19</f>
        <v>0</v>
      </c>
      <c r="F22" s="523">
        <f>alasan!CS19</f>
        <v>0</v>
      </c>
      <c r="G22" s="523">
        <f>alasan!CT19</f>
        <v>0</v>
      </c>
      <c r="H22" s="524" t="str">
        <f>C22+[1]OKT!H22</f>
        <v>#ERROR!</v>
      </c>
      <c r="I22" s="525" t="str">
        <f t="shared" si="2"/>
        <v>#ERROR!</v>
      </c>
      <c r="J22" s="526"/>
      <c r="K22" s="526"/>
      <c r="L22" s="526"/>
      <c r="M22" s="53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46">
        <v>15.0</v>
      </c>
      <c r="B23" s="52" t="s">
        <v>80</v>
      </c>
      <c r="C23" s="521"/>
      <c r="D23" s="522">
        <f t="shared" si="1"/>
        <v>0</v>
      </c>
      <c r="E23" s="523">
        <f>alasan!CR20</f>
        <v>1</v>
      </c>
      <c r="F23" s="523">
        <f>alasan!CS20</f>
        <v>0</v>
      </c>
      <c r="G23" s="523">
        <f>alasan!CT20</f>
        <v>1</v>
      </c>
      <c r="H23" s="524" t="str">
        <f>C23+[1]OKT!H23</f>
        <v>#ERROR!</v>
      </c>
      <c r="I23" s="525" t="str">
        <f t="shared" si="2"/>
        <v>#ERROR!</v>
      </c>
      <c r="J23" s="526"/>
      <c r="K23" s="526"/>
      <c r="L23" s="526"/>
      <c r="M23" s="53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46">
        <v>16.0</v>
      </c>
      <c r="B24" s="17" t="s">
        <v>89</v>
      </c>
      <c r="C24" s="521"/>
      <c r="D24" s="522">
        <f t="shared" si="1"/>
        <v>0</v>
      </c>
      <c r="E24" s="523">
        <f>alasan!CR21</f>
        <v>0</v>
      </c>
      <c r="F24" s="523">
        <f>alasan!CS21</f>
        <v>1</v>
      </c>
      <c r="G24" s="523">
        <f>alasan!CT21</f>
        <v>0</v>
      </c>
      <c r="H24" s="524" t="str">
        <f>C24+[1]OKT!H24</f>
        <v>#ERROR!</v>
      </c>
      <c r="I24" s="525" t="str">
        <f t="shared" si="2"/>
        <v>#ERROR!</v>
      </c>
      <c r="J24" s="526"/>
      <c r="K24" s="526"/>
      <c r="L24" s="526"/>
      <c r="M24" s="53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46">
        <v>17.0</v>
      </c>
      <c r="B25" s="17" t="s">
        <v>91</v>
      </c>
      <c r="C25" s="521"/>
      <c r="D25" s="522">
        <f t="shared" si="1"/>
        <v>0</v>
      </c>
      <c r="E25" s="523">
        <f>alasan!CR22</f>
        <v>6</v>
      </c>
      <c r="F25" s="523">
        <f>alasan!CS22</f>
        <v>0</v>
      </c>
      <c r="G25" s="523">
        <f>alasan!CT22</f>
        <v>0</v>
      </c>
      <c r="H25" s="524" t="str">
        <f>C25+[1]OKT!H25</f>
        <v>#ERROR!</v>
      </c>
      <c r="I25" s="525" t="str">
        <f t="shared" si="2"/>
        <v>#ERROR!</v>
      </c>
      <c r="J25" s="526"/>
      <c r="K25" s="526"/>
      <c r="L25" s="526"/>
      <c r="M25" s="53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46">
        <v>18.0</v>
      </c>
      <c r="B26" s="17" t="s">
        <v>95</v>
      </c>
      <c r="C26" s="521"/>
      <c r="D26" s="522">
        <f t="shared" si="1"/>
        <v>0</v>
      </c>
      <c r="E26" s="523">
        <f>alasan!CR23</f>
        <v>0</v>
      </c>
      <c r="F26" s="523">
        <f>alasan!CS23</f>
        <v>0</v>
      </c>
      <c r="G26" s="523">
        <f>alasan!CT23</f>
        <v>0</v>
      </c>
      <c r="H26" s="524" t="str">
        <f>C26+[1]OKT!H26</f>
        <v>#ERROR!</v>
      </c>
      <c r="I26" s="525" t="str">
        <f t="shared" si="2"/>
        <v>#ERROR!</v>
      </c>
      <c r="J26" s="526"/>
      <c r="K26" s="526"/>
      <c r="L26" s="526"/>
      <c r="M26" s="53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46">
        <v>19.0</v>
      </c>
      <c r="B27" s="17" t="s">
        <v>101</v>
      </c>
      <c r="C27" s="521"/>
      <c r="D27" s="522">
        <f t="shared" si="1"/>
        <v>0</v>
      </c>
      <c r="E27" s="523">
        <f>alasan!CR24</f>
        <v>0</v>
      </c>
      <c r="F27" s="523">
        <f>alasan!CS24</f>
        <v>0</v>
      </c>
      <c r="G27" s="523">
        <f>alasan!CT24</f>
        <v>1</v>
      </c>
      <c r="H27" s="524" t="str">
        <f>C27+[1]OKT!H27</f>
        <v>#ERROR!</v>
      </c>
      <c r="I27" s="525" t="str">
        <f t="shared" si="2"/>
        <v>#ERROR!</v>
      </c>
      <c r="J27" s="526"/>
      <c r="K27" s="526"/>
      <c r="L27" s="526"/>
      <c r="M27" s="53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46">
        <v>20.0</v>
      </c>
      <c r="B28" s="17" t="s">
        <v>107</v>
      </c>
      <c r="C28" s="521"/>
      <c r="D28" s="522">
        <f t="shared" si="1"/>
        <v>0</v>
      </c>
      <c r="E28" s="523">
        <f>alasan!CR25</f>
        <v>0</v>
      </c>
      <c r="F28" s="523">
        <f>alasan!CS25</f>
        <v>0</v>
      </c>
      <c r="G28" s="523">
        <f>alasan!CT25</f>
        <v>1</v>
      </c>
      <c r="H28" s="524" t="str">
        <f>C28+[1]OKT!H28</f>
        <v>#ERROR!</v>
      </c>
      <c r="I28" s="525" t="str">
        <f t="shared" si="2"/>
        <v>#ERROR!</v>
      </c>
      <c r="J28" s="526"/>
      <c r="K28" s="526"/>
      <c r="L28" s="526"/>
      <c r="M28" s="53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46">
        <v>21.0</v>
      </c>
      <c r="B29" s="17" t="s">
        <v>110</v>
      </c>
      <c r="C29" s="521"/>
      <c r="D29" s="522">
        <f t="shared" si="1"/>
        <v>0</v>
      </c>
      <c r="E29" s="523">
        <f>alasan!CR26</f>
        <v>0</v>
      </c>
      <c r="F29" s="523">
        <f>alasan!CS26</f>
        <v>0</v>
      </c>
      <c r="G29" s="523">
        <f>alasan!CT26</f>
        <v>0</v>
      </c>
      <c r="H29" s="524" t="str">
        <f>C29+[1]OKT!H29</f>
        <v>#ERROR!</v>
      </c>
      <c r="I29" s="525" t="str">
        <f t="shared" si="2"/>
        <v>#ERROR!</v>
      </c>
      <c r="J29" s="526"/>
      <c r="K29" s="526"/>
      <c r="L29" s="526"/>
      <c r="M29" s="53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46">
        <v>22.0</v>
      </c>
      <c r="B30" s="17" t="s">
        <v>115</v>
      </c>
      <c r="C30" s="521"/>
      <c r="D30" s="522">
        <f t="shared" si="1"/>
        <v>0</v>
      </c>
      <c r="E30" s="523">
        <f>alasan!CR27</f>
        <v>0</v>
      </c>
      <c r="F30" s="523">
        <f>alasan!CS27</f>
        <v>0</v>
      </c>
      <c r="G30" s="523">
        <f>alasan!CT27</f>
        <v>0</v>
      </c>
      <c r="H30" s="524" t="str">
        <f>C30+[1]OKT!H30</f>
        <v>#ERROR!</v>
      </c>
      <c r="I30" s="525" t="str">
        <f t="shared" si="2"/>
        <v>#ERROR!</v>
      </c>
      <c r="J30" s="526"/>
      <c r="K30" s="526"/>
      <c r="L30" s="526"/>
      <c r="M30" s="53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46">
        <v>23.0</v>
      </c>
      <c r="B31" s="17" t="s">
        <v>121</v>
      </c>
      <c r="C31" s="521"/>
      <c r="D31" s="522">
        <f t="shared" si="1"/>
        <v>0</v>
      </c>
      <c r="E31" s="523">
        <f>alasan!CR28</f>
        <v>0</v>
      </c>
      <c r="F31" s="523">
        <f>alasan!CS28</f>
        <v>0</v>
      </c>
      <c r="G31" s="523">
        <f>alasan!CT28</f>
        <v>0</v>
      </c>
      <c r="H31" s="524" t="str">
        <f>C31+[1]OKT!H31</f>
        <v>#ERROR!</v>
      </c>
      <c r="I31" s="525" t="str">
        <f t="shared" si="2"/>
        <v>#ERROR!</v>
      </c>
      <c r="J31" s="526"/>
      <c r="K31" s="526"/>
      <c r="L31" s="526"/>
      <c r="M31" s="53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46">
        <v>24.0</v>
      </c>
      <c r="B32" s="17" t="s">
        <v>1061</v>
      </c>
      <c r="C32" s="521"/>
      <c r="D32" s="522">
        <f t="shared" si="1"/>
        <v>0</v>
      </c>
      <c r="E32" s="523">
        <f>alasan!CR29</f>
        <v>0</v>
      </c>
      <c r="F32" s="523">
        <f>alasan!CS29</f>
        <v>0</v>
      </c>
      <c r="G32" s="523">
        <f>alasan!CT29</f>
        <v>0</v>
      </c>
      <c r="H32" s="524" t="str">
        <f>C32+[1]OKT!H32</f>
        <v>#ERROR!</v>
      </c>
      <c r="I32" s="525" t="str">
        <f t="shared" si="2"/>
        <v>#ERROR!</v>
      </c>
      <c r="J32" s="526"/>
      <c r="K32" s="526"/>
      <c r="L32" s="526"/>
      <c r="M32" s="53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46">
        <v>25.0</v>
      </c>
      <c r="B33" s="17" t="s">
        <v>333</v>
      </c>
      <c r="C33" s="521"/>
      <c r="D33" s="522">
        <f t="shared" si="1"/>
        <v>0</v>
      </c>
      <c r="E33" s="523">
        <f>alasan!CR30</f>
        <v>0</v>
      </c>
      <c r="F33" s="523">
        <f>alasan!CS30</f>
        <v>1</v>
      </c>
      <c r="G33" s="523">
        <f>alasan!CT30</f>
        <v>0</v>
      </c>
      <c r="H33" s="524" t="str">
        <f>C33+[1]OKT!H33</f>
        <v>#ERROR!</v>
      </c>
      <c r="I33" s="525" t="str">
        <f t="shared" si="2"/>
        <v>#ERROR!</v>
      </c>
      <c r="J33" s="526"/>
      <c r="K33" s="526"/>
      <c r="L33" s="526"/>
      <c r="M33" s="53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46">
        <v>26.0</v>
      </c>
      <c r="B34" s="17" t="s">
        <v>1062</v>
      </c>
      <c r="C34" s="521"/>
      <c r="D34" s="522">
        <f t="shared" si="1"/>
        <v>0</v>
      </c>
      <c r="E34" s="523">
        <f>alasan!CR31</f>
        <v>0</v>
      </c>
      <c r="F34" s="523">
        <f>alasan!CS31</f>
        <v>0</v>
      </c>
      <c r="G34" s="523">
        <f>alasan!CT31</f>
        <v>0</v>
      </c>
      <c r="H34" s="524" t="str">
        <f>C34+[1]OKT!H34</f>
        <v>#ERROR!</v>
      </c>
      <c r="I34" s="525" t="str">
        <f t="shared" si="2"/>
        <v>#ERROR!</v>
      </c>
      <c r="J34" s="526"/>
      <c r="K34" s="526"/>
      <c r="L34" s="526"/>
      <c r="M34" s="53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46">
        <v>27.0</v>
      </c>
      <c r="B35" s="17" t="s">
        <v>1063</v>
      </c>
      <c r="C35" s="521"/>
      <c r="D35" s="522">
        <f t="shared" si="1"/>
        <v>0</v>
      </c>
      <c r="E35" s="523">
        <f>alasan!CR32</f>
        <v>0</v>
      </c>
      <c r="F35" s="523">
        <f>alasan!CS32</f>
        <v>0</v>
      </c>
      <c r="G35" s="523">
        <f>alasan!CT32</f>
        <v>0</v>
      </c>
      <c r="H35" s="524" t="str">
        <f>C35+[1]OKT!H35</f>
        <v>#ERROR!</v>
      </c>
      <c r="I35" s="525" t="str">
        <f t="shared" si="2"/>
        <v>#ERROR!</v>
      </c>
      <c r="J35" s="526"/>
      <c r="K35" s="526"/>
      <c r="L35" s="526"/>
      <c r="M35" s="530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46">
        <v>28.0</v>
      </c>
      <c r="B36" s="17" t="s">
        <v>1064</v>
      </c>
      <c r="C36" s="521"/>
      <c r="D36" s="522">
        <f t="shared" si="1"/>
        <v>0</v>
      </c>
      <c r="E36" s="523">
        <f>alasan!CR33</f>
        <v>0</v>
      </c>
      <c r="F36" s="523">
        <f>alasan!CS33</f>
        <v>1</v>
      </c>
      <c r="G36" s="523">
        <f>alasan!CT33</f>
        <v>2</v>
      </c>
      <c r="H36" s="524" t="str">
        <f>C36+[1]OKT!H36</f>
        <v>#ERROR!</v>
      </c>
      <c r="I36" s="525" t="str">
        <f t="shared" si="2"/>
        <v>#ERROR!</v>
      </c>
      <c r="J36" s="526"/>
      <c r="K36" s="526"/>
      <c r="L36" s="526"/>
      <c r="M36" s="530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46">
        <v>29.0</v>
      </c>
      <c r="B37" s="17" t="s">
        <v>336</v>
      </c>
      <c r="C37" s="521"/>
      <c r="D37" s="522">
        <f t="shared" si="1"/>
        <v>0</v>
      </c>
      <c r="E37" s="523">
        <f>alasan!CR34</f>
        <v>0</v>
      </c>
      <c r="F37" s="523">
        <f>alasan!CS34</f>
        <v>1</v>
      </c>
      <c r="G37" s="523">
        <f>alasan!CT34</f>
        <v>0</v>
      </c>
      <c r="H37" s="524" t="str">
        <f>C37+[1]OKT!H37</f>
        <v>#ERROR!</v>
      </c>
      <c r="I37" s="525" t="str">
        <f t="shared" si="2"/>
        <v>#ERROR!</v>
      </c>
      <c r="J37" s="526"/>
      <c r="K37" s="526"/>
      <c r="L37" s="526"/>
      <c r="M37" s="53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46">
        <v>30.0</v>
      </c>
      <c r="B38" s="75" t="s">
        <v>127</v>
      </c>
      <c r="C38" s="521"/>
      <c r="D38" s="522"/>
      <c r="E38" s="523">
        <f>alasan!CR35</f>
        <v>0</v>
      </c>
      <c r="F38" s="523">
        <f>alasan!CS35</f>
        <v>1</v>
      </c>
      <c r="G38" s="523">
        <f>alasan!CT35</f>
        <v>0</v>
      </c>
      <c r="H38" s="524"/>
      <c r="I38" s="525"/>
      <c r="J38" s="526"/>
      <c r="K38" s="526"/>
      <c r="L38" s="526"/>
      <c r="M38" s="53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46">
        <v>31.0</v>
      </c>
      <c r="B39" s="17" t="s">
        <v>132</v>
      </c>
      <c r="C39" s="521"/>
      <c r="D39" s="522"/>
      <c r="E39" s="523">
        <f>alasan!CR36</f>
        <v>0</v>
      </c>
      <c r="F39" s="523">
        <f>alasan!CS36</f>
        <v>0</v>
      </c>
      <c r="G39" s="523">
        <f>alasan!CT36</f>
        <v>0</v>
      </c>
      <c r="H39" s="524"/>
      <c r="I39" s="525"/>
      <c r="J39" s="526"/>
      <c r="K39" s="526"/>
      <c r="L39" s="526"/>
      <c r="M39" s="530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46">
        <v>32.0</v>
      </c>
      <c r="B40" s="17" t="s">
        <v>138</v>
      </c>
      <c r="C40" s="521"/>
      <c r="D40" s="522"/>
      <c r="E40" s="523">
        <f>alasan!CR37</f>
        <v>0</v>
      </c>
      <c r="F40" s="523">
        <f>alasan!CS37</f>
        <v>0</v>
      </c>
      <c r="G40" s="523">
        <f>alasan!CT37</f>
        <v>0</v>
      </c>
      <c r="H40" s="524"/>
      <c r="I40" s="525"/>
      <c r="J40" s="526"/>
      <c r="K40" s="526"/>
      <c r="L40" s="526"/>
      <c r="M40" s="530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46">
        <v>33.0</v>
      </c>
      <c r="B41" s="75" t="s">
        <v>262</v>
      </c>
      <c r="C41" s="521"/>
      <c r="D41" s="522"/>
      <c r="E41" s="523">
        <f>alasan!CR38</f>
        <v>0</v>
      </c>
      <c r="F41" s="523">
        <f>alasan!CS38</f>
        <v>0</v>
      </c>
      <c r="G41" s="523">
        <f>alasan!CT38</f>
        <v>2</v>
      </c>
      <c r="H41" s="524"/>
      <c r="I41" s="525"/>
      <c r="J41" s="526"/>
      <c r="K41" s="526"/>
      <c r="L41" s="526"/>
      <c r="M41" s="530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46">
        <v>34.0</v>
      </c>
      <c r="B42" s="75" t="s">
        <v>146</v>
      </c>
      <c r="C42" s="521"/>
      <c r="D42" s="522"/>
      <c r="E42" s="523">
        <f>alasan!CR39</f>
        <v>0</v>
      </c>
      <c r="F42" s="523">
        <f>alasan!CS39</f>
        <v>0</v>
      </c>
      <c r="G42" s="523">
        <f>alasan!CT39</f>
        <v>0</v>
      </c>
      <c r="H42" s="524"/>
      <c r="I42" s="525"/>
      <c r="J42" s="526"/>
      <c r="K42" s="526"/>
      <c r="L42" s="526"/>
      <c r="M42" s="530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46">
        <v>35.0</v>
      </c>
      <c r="B43" s="17" t="s">
        <v>151</v>
      </c>
      <c r="C43" s="521"/>
      <c r="D43" s="522"/>
      <c r="E43" s="523">
        <f>alasan!CR40</f>
        <v>0</v>
      </c>
      <c r="F43" s="523">
        <f>alasan!CS40</f>
        <v>0</v>
      </c>
      <c r="G43" s="523">
        <f>alasan!CT40</f>
        <v>0</v>
      </c>
      <c r="H43" s="524"/>
      <c r="I43" s="525"/>
      <c r="J43" s="526"/>
      <c r="K43" s="526"/>
      <c r="L43" s="526"/>
      <c r="M43" s="530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46">
        <v>36.0</v>
      </c>
      <c r="B44" s="17" t="s">
        <v>158</v>
      </c>
      <c r="C44" s="521"/>
      <c r="D44" s="522"/>
      <c r="E44" s="523">
        <f>alasan!CR41</f>
        <v>0</v>
      </c>
      <c r="F44" s="523">
        <f>alasan!CS41</f>
        <v>0</v>
      </c>
      <c r="G44" s="523">
        <f>alasan!CT41</f>
        <v>0</v>
      </c>
      <c r="H44" s="524"/>
      <c r="I44" s="525"/>
      <c r="J44" s="526"/>
      <c r="K44" s="526"/>
      <c r="L44" s="526"/>
      <c r="M44" s="530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46">
        <v>37.0</v>
      </c>
      <c r="B45" s="17" t="s">
        <v>278</v>
      </c>
      <c r="C45" s="521"/>
      <c r="D45" s="522"/>
      <c r="E45" s="523">
        <f>alasan!CR42</f>
        <v>0</v>
      </c>
      <c r="F45" s="523">
        <f>alasan!CS42</f>
        <v>0</v>
      </c>
      <c r="G45" s="523">
        <f>alasan!CT42</f>
        <v>0</v>
      </c>
      <c r="H45" s="524"/>
      <c r="I45" s="525"/>
      <c r="J45" s="526"/>
      <c r="K45" s="526"/>
      <c r="L45" s="526"/>
      <c r="M45" s="530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46">
        <v>38.0</v>
      </c>
      <c r="B46" s="17" t="s">
        <v>162</v>
      </c>
      <c r="C46" s="521"/>
      <c r="D46" s="522"/>
      <c r="E46" s="523">
        <f>alasan!CR43</f>
        <v>0</v>
      </c>
      <c r="F46" s="523">
        <f>alasan!CS43</f>
        <v>0</v>
      </c>
      <c r="G46" s="523">
        <f>alasan!CT43</f>
        <v>0</v>
      </c>
      <c r="H46" s="524"/>
      <c r="I46" s="525"/>
      <c r="J46" s="526"/>
      <c r="K46" s="526"/>
      <c r="L46" s="526"/>
      <c r="M46" s="530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46">
        <v>39.0</v>
      </c>
      <c r="B47" s="17" t="s">
        <v>166</v>
      </c>
      <c r="C47" s="521"/>
      <c r="D47" s="522"/>
      <c r="E47" s="523">
        <f>alasan!CR44</f>
        <v>1</v>
      </c>
      <c r="F47" s="523">
        <f>alasan!CS44</f>
        <v>1</v>
      </c>
      <c r="G47" s="523">
        <f>alasan!CT44</f>
        <v>0</v>
      </c>
      <c r="H47" s="524"/>
      <c r="I47" s="525"/>
      <c r="J47" s="526"/>
      <c r="K47" s="526"/>
      <c r="L47" s="526"/>
      <c r="M47" s="53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46">
        <v>40.0</v>
      </c>
      <c r="B48" s="21" t="s">
        <v>169</v>
      </c>
      <c r="C48" s="521"/>
      <c r="D48" s="522"/>
      <c r="E48" s="523">
        <f>alasan!CR45</f>
        <v>13</v>
      </c>
      <c r="F48" s="523">
        <f>alasan!CS45</f>
        <v>0</v>
      </c>
      <c r="G48" s="523">
        <f>alasan!CT45</f>
        <v>0</v>
      </c>
      <c r="H48" s="524"/>
      <c r="I48" s="525"/>
      <c r="J48" s="526"/>
      <c r="K48" s="526"/>
      <c r="L48" s="526"/>
      <c r="M48" s="530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46">
        <v>41.0</v>
      </c>
      <c r="B49" s="21" t="s">
        <v>172</v>
      </c>
      <c r="C49" s="521"/>
      <c r="D49" s="522"/>
      <c r="E49" s="523">
        <f>alasan!CR46</f>
        <v>0</v>
      </c>
      <c r="F49" s="523">
        <f>alasan!CS46</f>
        <v>0</v>
      </c>
      <c r="G49" s="523">
        <f>alasan!CT46</f>
        <v>1</v>
      </c>
      <c r="H49" s="524"/>
      <c r="I49" s="525"/>
      <c r="J49" s="526"/>
      <c r="K49" s="526"/>
      <c r="L49" s="526"/>
      <c r="M49" s="530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46">
        <v>42.0</v>
      </c>
      <c r="B50" s="21" t="s">
        <v>547</v>
      </c>
      <c r="C50" s="521"/>
      <c r="D50" s="522"/>
      <c r="E50" s="523">
        <f>alasan!CR47</f>
        <v>0</v>
      </c>
      <c r="F50" s="523">
        <f>alasan!CS47</f>
        <v>1</v>
      </c>
      <c r="G50" s="523">
        <f>alasan!CT47</f>
        <v>0</v>
      </c>
      <c r="H50" s="524"/>
      <c r="I50" s="525"/>
      <c r="J50" s="526"/>
      <c r="K50" s="526"/>
      <c r="L50" s="526"/>
      <c r="M50" s="53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46">
        <v>43.0</v>
      </c>
      <c r="B51" s="21" t="s">
        <v>181</v>
      </c>
      <c r="C51" s="521"/>
      <c r="D51" s="522"/>
      <c r="E51" s="523">
        <f>alasan!CR48</f>
        <v>0</v>
      </c>
      <c r="F51" s="523">
        <f>alasan!CS48</f>
        <v>0</v>
      </c>
      <c r="G51" s="523">
        <f>alasan!CT48</f>
        <v>0</v>
      </c>
      <c r="H51" s="524"/>
      <c r="I51" s="525"/>
      <c r="J51" s="526"/>
      <c r="K51" s="526"/>
      <c r="L51" s="526"/>
      <c r="M51" s="53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371"/>
      <c r="B52" s="371"/>
      <c r="C52" s="371"/>
      <c r="D52" s="371"/>
      <c r="E52" s="371"/>
      <c r="F52" s="371"/>
      <c r="G52" s="37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371"/>
      <c r="B53" s="371"/>
      <c r="C53" s="371"/>
      <c r="D53" s="371"/>
      <c r="E53" s="371"/>
      <c r="F53" s="371"/>
      <c r="G53" s="37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371"/>
      <c r="B54" s="371"/>
      <c r="C54" s="371"/>
      <c r="D54" s="371"/>
      <c r="E54" s="371"/>
      <c r="F54" s="371"/>
      <c r="G54" s="371"/>
      <c r="H54" s="5"/>
      <c r="I54" s="419" t="s">
        <v>302</v>
      </c>
      <c r="J54" s="371"/>
      <c r="K54" s="37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371"/>
      <c r="B55" s="371"/>
      <c r="C55" s="371"/>
      <c r="D55" s="371"/>
      <c r="E55" s="371"/>
      <c r="F55" s="371"/>
      <c r="G55" s="371"/>
      <c r="H55" s="5"/>
      <c r="I55" s="419" t="s">
        <v>304</v>
      </c>
      <c r="J55" s="371"/>
      <c r="K55" s="37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419"/>
      <c r="J56" s="420"/>
      <c r="K56" s="41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419"/>
      <c r="J57" s="420"/>
      <c r="K57" s="41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419"/>
      <c r="J58" s="420"/>
      <c r="K58" s="41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419" t="s">
        <v>1065</v>
      </c>
      <c r="J59" s="371"/>
      <c r="K59" s="37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420" t="s">
        <v>1066</v>
      </c>
      <c r="J60" s="371"/>
      <c r="K60" s="37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371"/>
      <c r="I66" s="548"/>
      <c r="J66" s="548"/>
      <c r="K66" s="548"/>
      <c r="L66" s="548"/>
      <c r="M66" s="54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371"/>
      <c r="I67" s="548"/>
      <c r="J67" s="548"/>
      <c r="K67" s="548"/>
      <c r="L67" s="548"/>
      <c r="M67" s="54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371"/>
      <c r="I68" s="550"/>
      <c r="J68" s="550"/>
      <c r="K68" s="550"/>
      <c r="L68" s="550"/>
      <c r="M68" s="55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371"/>
      <c r="I69" s="550"/>
      <c r="J69" s="550"/>
      <c r="K69" s="550"/>
      <c r="L69" s="550"/>
      <c r="M69" s="55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52"/>
      <c r="I70" s="553"/>
      <c r="J70" s="554"/>
      <c r="K70" s="555"/>
      <c r="L70" s="554"/>
      <c r="M70" s="54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52"/>
      <c r="I71" s="556"/>
      <c r="J71" s="554"/>
      <c r="K71" s="554"/>
      <c r="L71" s="554"/>
      <c r="M71" s="54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0">
    <mergeCell ref="H5:I6"/>
    <mergeCell ref="J5:L6"/>
    <mergeCell ref="A1:M1"/>
    <mergeCell ref="A2:M2"/>
    <mergeCell ref="A3:M3"/>
    <mergeCell ref="A5:A7"/>
    <mergeCell ref="B5:B7"/>
    <mergeCell ref="C5:D6"/>
    <mergeCell ref="E5:G6"/>
    <mergeCell ref="M5:M7"/>
  </mergeCells>
  <printOptions/>
  <pageMargins bottom="0.75" footer="0.0" header="0.0" left="0.7" right="0.7" top="0.75"/>
  <pageSetup orientation="landscape"/>
  <drawing r:id="rId1"/>
</worksheet>
</file>